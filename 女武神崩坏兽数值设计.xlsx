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3"/>
  </bookViews>
  <sheets>
    <sheet name="老女武神装备" sheetId="1" r:id="rId1"/>
    <sheet name="计算过程" sheetId="2" r:id="rId2"/>
    <sheet name="武器配件" sheetId="3" r:id="rId3"/>
    <sheet name="装甲配件 " sheetId="4" r:id="rId4"/>
    <sheet name="神之键配件" sheetId="5" r:id="rId5"/>
    <sheet name="武装人偶配件 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<sst xmlns="http://schemas.openxmlformats.org/spreadsheetml/2006/main" count="288" uniqueCount="148">
  <si>
    <t>名称</t>
  </si>
  <si>
    <t>Star</t>
  </si>
  <si>
    <t>soft_attack</t>
  </si>
  <si>
    <t>Rank</t>
  </si>
  <si>
    <t>hard_attack</t>
  </si>
  <si>
    <t>ap_attack</t>
  </si>
  <si>
    <t>armor_value</t>
  </si>
  <si>
    <t>breakthrough</t>
  </si>
  <si>
    <t>defense</t>
  </si>
  <si>
    <t>ORG</t>
  </si>
  <si>
    <t>maximum_speed</t>
  </si>
  <si>
    <t>armor_ratio</t>
  </si>
  <si>
    <t>cost</t>
  </si>
  <si>
    <t>Kiana_equipment_0</t>
  </si>
  <si>
    <t>I</t>
  </si>
  <si>
    <t>Kiana_equipment_1</t>
  </si>
  <si>
    <t>II</t>
  </si>
  <si>
    <t>Kiana_equipment_2</t>
  </si>
  <si>
    <t>III</t>
  </si>
  <si>
    <t>Theresa_equipment_1</t>
  </si>
  <si>
    <t>Theresa_equipment_3</t>
  </si>
  <si>
    <t>IV</t>
  </si>
  <si>
    <t>Eden_equipment_1</t>
  </si>
  <si>
    <t>Mei_equipment_0</t>
  </si>
  <si>
    <t>Mei_equipment_1</t>
  </si>
  <si>
    <t>Mei_equipment_2</t>
  </si>
  <si>
    <t>Seele_equipment_1</t>
  </si>
  <si>
    <t>Seele_equipment_2</t>
  </si>
  <si>
    <t>Seele_equipment_3</t>
  </si>
  <si>
    <t>Fuka_equipment_1</t>
  </si>
  <si>
    <t>Fuka_equipment_2</t>
  </si>
  <si>
    <t>Bronya_equipment_0</t>
  </si>
  <si>
    <t>Bronya_equipment_1</t>
  </si>
  <si>
    <t>Bronya_equipment_2</t>
  </si>
  <si>
    <t>Bronya_equipment_3</t>
  </si>
  <si>
    <t>TujinBHS_equipment_0</t>
  </si>
  <si>
    <t>TujinBHS_equipment_1</t>
  </si>
  <si>
    <t>QishiBHS_equipment_0</t>
  </si>
  <si>
    <t>QishiBHS_equipment_1</t>
  </si>
  <si>
    <t>ZhancheBHS_equipment_0</t>
  </si>
  <si>
    <t>ZhancheBHS_equipment_1</t>
  </si>
  <si>
    <t>ShengdianBHS_equipment_0</t>
  </si>
  <si>
    <t>ShengdianBHS_equipment_1</t>
  </si>
  <si>
    <t>JianisaBHS_equipment_0</t>
  </si>
  <si>
    <t>V</t>
  </si>
  <si>
    <t>BeinalesiBHS_equipment_0</t>
  </si>
  <si>
    <t>VI</t>
  </si>
  <si>
    <t>HerrscherBHS_equipment_0</t>
  </si>
  <si>
    <t>HerrscherBHS_equipment_1</t>
  </si>
  <si>
    <t>HerrscherBHS_equipment_2</t>
  </si>
  <si>
    <t>HerrscherBHS_equipment_End</t>
  </si>
  <si>
    <t>max</t>
  </si>
  <si>
    <t>min</t>
  </si>
  <si>
    <t>等级</t>
  </si>
  <si>
    <t>区间1</t>
  </si>
  <si>
    <t>区间2</t>
  </si>
  <si>
    <t>B--</t>
  </si>
  <si>
    <t>B-</t>
  </si>
  <si>
    <t>B</t>
  </si>
  <si>
    <t>B+</t>
  </si>
  <si>
    <t>A-</t>
  </si>
  <si>
    <t>B++</t>
  </si>
  <si>
    <t>A</t>
  </si>
  <si>
    <t>A--</t>
  </si>
  <si>
    <t>A+</t>
  </si>
  <si>
    <t>S-</t>
  </si>
  <si>
    <t>S</t>
  </si>
  <si>
    <t>S+</t>
  </si>
  <si>
    <t>A++</t>
  </si>
  <si>
    <t>S--</t>
  </si>
  <si>
    <t>S++</t>
  </si>
  <si>
    <t>SS--</t>
  </si>
  <si>
    <t>SS-</t>
  </si>
  <si>
    <t>SS</t>
  </si>
  <si>
    <t>SS+</t>
  </si>
  <si>
    <t>SS++</t>
  </si>
  <si>
    <t>SSS--</t>
  </si>
  <si>
    <t>SSS-</t>
  </si>
  <si>
    <t>SSS</t>
  </si>
  <si>
    <t>SSS+</t>
  </si>
  <si>
    <t>SSS++</t>
  </si>
  <si>
    <t>总份数</t>
  </si>
  <si>
    <t>分数</t>
  </si>
  <si>
    <t>reliability</t>
  </si>
  <si>
    <t>air_attack</t>
  </si>
  <si>
    <t>soft_attack_f</t>
  </si>
  <si>
    <t>hard_attack_f</t>
  </si>
  <si>
    <t>ap_attack_f</t>
  </si>
  <si>
    <t>cost_f</t>
  </si>
  <si>
    <t>双枪0</t>
  </si>
  <si>
    <t>双枪1</t>
  </si>
  <si>
    <t>双枪2</t>
  </si>
  <si>
    <t>双枪3</t>
  </si>
  <si>
    <t>太刀0</t>
  </si>
  <si>
    <t>太刀1</t>
  </si>
  <si>
    <t>太刀2</t>
  </si>
  <si>
    <t>太刀3</t>
  </si>
  <si>
    <t>重炮0</t>
  </si>
  <si>
    <t>重炮1</t>
  </si>
  <si>
    <t>重炮2</t>
  </si>
  <si>
    <t>重炮3</t>
  </si>
  <si>
    <t>镰刀0</t>
  </si>
  <si>
    <t>镰刀1</t>
  </si>
  <si>
    <t>镰刀2</t>
  </si>
  <si>
    <t>镰刀3</t>
  </si>
  <si>
    <t>拳套0</t>
  </si>
  <si>
    <t>拳套1</t>
  </si>
  <si>
    <t>拳套2</t>
  </si>
  <si>
    <t>拳套3</t>
  </si>
  <si>
    <t>十字架0</t>
  </si>
  <si>
    <t>十字架1</t>
  </si>
  <si>
    <t>十字架2</t>
  </si>
  <si>
    <t>十字架3</t>
  </si>
  <si>
    <t>Hardness</t>
  </si>
  <si>
    <t>maximum_speed_f</t>
  </si>
  <si>
    <t>defense_f</t>
  </si>
  <si>
    <t>breakthrough_f</t>
  </si>
  <si>
    <t>armor_value_f</t>
  </si>
  <si>
    <t>无甲</t>
  </si>
  <si>
    <t>轻甲</t>
  </si>
  <si>
    <t>中甲</t>
  </si>
  <si>
    <t>重甲</t>
  </si>
  <si>
    <t>超重甲</t>
  </si>
  <si>
    <r>
      <rPr>
        <b/>
        <sz val="11"/>
        <color theme="1"/>
        <rFont val="方正仿宋_GBK"/>
        <charset val="134"/>
      </rPr>
      <t>名称</t>
    </r>
  </si>
  <si>
    <t>breakthrough_factor</t>
  </si>
  <si>
    <t>defense_factor</t>
  </si>
  <si>
    <t>armor_value_factor</t>
  </si>
  <si>
    <t>soft_attack_factor</t>
  </si>
  <si>
    <t>hard_attack_factor</t>
  </si>
  <si>
    <r>
      <rPr>
        <sz val="11"/>
        <color theme="1"/>
        <rFont val="方正仿宋_GBK"/>
        <charset val="134"/>
      </rPr>
      <t>虚空万藏</t>
    </r>
  </si>
  <si>
    <r>
      <rPr>
        <sz val="11"/>
        <color theme="1"/>
        <rFont val="方正仿宋_GBK"/>
        <charset val="134"/>
      </rPr>
      <t>千界一乘</t>
    </r>
  </si>
  <si>
    <r>
      <rPr>
        <sz val="11"/>
        <color theme="1"/>
        <rFont val="方正仿宋_GBK"/>
        <charset val="134"/>
      </rPr>
      <t>涤罪七雷</t>
    </r>
  </si>
  <si>
    <r>
      <rPr>
        <sz val="11"/>
        <color theme="1"/>
        <rFont val="方正仿宋_GBK"/>
        <charset val="134"/>
      </rPr>
      <t>黑渊白花</t>
    </r>
  </si>
  <si>
    <r>
      <rPr>
        <sz val="11"/>
        <color theme="1"/>
        <rFont val="方正仿宋_GBK"/>
        <charset val="134"/>
      </rPr>
      <t>羽渡尘</t>
    </r>
  </si>
  <si>
    <r>
      <rPr>
        <sz val="11"/>
        <color theme="1"/>
        <rFont val="方正仿宋_GBK"/>
        <charset val="134"/>
      </rPr>
      <t>誓约犹大</t>
    </r>
  </si>
  <si>
    <r>
      <rPr>
        <sz val="11"/>
        <color theme="1"/>
        <rFont val="方正仿宋_GBK"/>
        <charset val="134"/>
      </rPr>
      <t>天火圣裁</t>
    </r>
  </si>
  <si>
    <r>
      <rPr>
        <sz val="11"/>
        <color theme="1"/>
        <rFont val="方正仿宋_GBK"/>
        <charset val="134"/>
      </rPr>
      <t>伊甸之星</t>
    </r>
  </si>
  <si>
    <r>
      <rPr>
        <sz val="11"/>
        <color theme="1"/>
        <rFont val="方正仿宋_GBK"/>
        <charset val="134"/>
      </rPr>
      <t>地藏御魂</t>
    </r>
  </si>
  <si>
    <t>recon</t>
  </si>
  <si>
    <t>entrenchment</t>
  </si>
  <si>
    <t>experience_loss_factor</t>
  </si>
  <si>
    <t>苍玄之书</t>
  </si>
  <si>
    <t>克莱因</t>
  </si>
  <si>
    <t>妖精爱莉</t>
  </si>
  <si>
    <t>赤鸢之翼</t>
  </si>
  <si>
    <t>仿犹大</t>
  </si>
  <si>
    <t>贝拉</t>
  </si>
  <si>
    <t>重装小兔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</si>
</sst>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</numFmts>
  <fonts count="27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方正仿宋_GBK"/>
      <charset val="134"/>
    </font>
    <font>
      <b/>
      <sz val="11"/>
      <color theme="1"/>
      <name val="方正仿宋_GBK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>
      <alignment horizontal="center"/>
    </xf>
    <xf numFmtId="177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 wrapText="1"/>
    </xf>
    <xf numFmtId="176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7" fontId="0" fillId="4" borderId="0" xfId="0" applyNumberFormat="1" applyFill="1" applyAlignment="1">
      <alignment horizontal="center"/>
    </xf>
    <xf numFmtId="177" fontId="0" fillId="4" borderId="0" xfId="0" applyNumberForma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 wrapText="1"/>
    </xf>
    <xf numFmtId="176" fontId="0" fillId="6" borderId="0" xfId="0" applyNumberFormat="1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 wrapText="1"/>
    </xf>
    <xf numFmtId="0" fontId="0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 wrapText="1"/>
    </xf>
    <xf numFmtId="176" fontId="0" fillId="7" borderId="0" xfId="0" applyNumberFormat="1" applyFill="1" applyAlignment="1">
      <alignment horizontal="center" vertical="center"/>
    </xf>
    <xf numFmtId="177" fontId="4" fillId="7" borderId="0" xfId="0" applyNumberFormat="1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top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8" borderId="0" xfId="0" applyNumberForma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177" fontId="0" fillId="9" borderId="0" xfId="0" applyNumberForma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0" fillId="8" borderId="0" xfId="0" applyNumberFormat="1" applyFill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176" fontId="0" fillId="0" borderId="0" xfId="0" applyNumberFormat="1"/>
    <xf numFmtId="176" fontId="0" fillId="5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zoomScale="85" zoomScaleNormal="85" workbookViewId="0">
      <pane ySplit="1" topLeftCell="A2" activePane="bottomLeft" state="frozen"/>
      <selection/>
      <selection pane="bottomLeft" activeCell="A1" sqref="A1:S19"/>
    </sheetView>
  </sheetViews>
  <sheetFormatPr defaultColWidth="9" defaultRowHeight="13.8"/>
  <cols>
    <col min="1" max="1" width="24.6666666666667" style="24" customWidth="1"/>
    <col min="2" max="2" width="10.6666666666667" style="24" customWidth="1"/>
    <col min="3" max="3" width="12.6666666666667" style="24" customWidth="1"/>
    <col min="4" max="4" width="7.33333333333333" style="63" customWidth="1"/>
    <col min="5" max="5" width="12.6666666666667" style="24" customWidth="1"/>
    <col min="6" max="6" width="5.77777777777778" style="63" customWidth="1"/>
    <col min="7" max="7" width="12.6666666666667" style="24" customWidth="1"/>
    <col min="8" max="8" width="5.77777777777778" style="63" customWidth="1"/>
    <col min="9" max="9" width="12.6666666666667" style="24" customWidth="1"/>
    <col min="10" max="10" width="5.77777777777778" style="63" customWidth="1"/>
    <col min="11" max="11" width="12.6666666666667" style="24" customWidth="1"/>
    <col min="12" max="12" width="5.77777777777778" style="63" customWidth="1"/>
    <col min="13" max="13" width="12.6666666666667" style="24" customWidth="1"/>
    <col min="14" max="16" width="5.77777777777778" style="63" customWidth="1"/>
    <col min="17" max="17" width="12.6666666666667" style="24" customWidth="1"/>
    <col min="18" max="18" width="10.3333333333333" style="72" customWidth="1"/>
    <col min="19" max="16384" width="9" style="24"/>
  </cols>
  <sheetData>
    <row r="1" ht="25.05" customHeight="1" spans="1:19">
      <c r="A1" s="24" t="s">
        <v>0</v>
      </c>
      <c r="B1" s="24" t="s">
        <v>1</v>
      </c>
      <c r="C1" s="24" t="s">
        <v>2</v>
      </c>
      <c r="D1" s="63" t="s">
        <v>3</v>
      </c>
      <c r="E1" s="24" t="s">
        <v>4</v>
      </c>
      <c r="F1" s="63" t="s">
        <v>3</v>
      </c>
      <c r="G1" s="24" t="s">
        <v>5</v>
      </c>
      <c r="H1" s="63" t="s">
        <v>3</v>
      </c>
      <c r="I1" s="24" t="s">
        <v>6</v>
      </c>
      <c r="J1" s="63" t="s">
        <v>3</v>
      </c>
      <c r="K1" s="24" t="s">
        <v>7</v>
      </c>
      <c r="L1" s="63" t="s">
        <v>3</v>
      </c>
      <c r="M1" s="24" t="s">
        <v>8</v>
      </c>
      <c r="N1" s="63" t="s">
        <v>3</v>
      </c>
      <c r="O1" s="63" t="s">
        <v>9</v>
      </c>
      <c r="P1" s="63" t="s">
        <v>3</v>
      </c>
      <c r="Q1" s="24" t="s">
        <v>10</v>
      </c>
      <c r="R1" s="24" t="s">
        <v>11</v>
      </c>
      <c r="S1" s="67" t="s">
        <v>12</v>
      </c>
    </row>
    <row r="2" s="31" customFormat="1" ht="25.05" customHeight="1" spans="1:19">
      <c r="A2" s="31" t="s">
        <v>13</v>
      </c>
      <c r="B2" s="31" t="s">
        <v>14</v>
      </c>
      <c r="C2" s="34">
        <v>35</v>
      </c>
      <c r="D2" s="65" t="str">
        <f>INDEX(计算过程!$A$5:$A$30,MATCH(C2,计算过程!$B$5:$B$30))</f>
        <v>B</v>
      </c>
      <c r="E2" s="34">
        <v>22</v>
      </c>
      <c r="F2" s="65" t="str">
        <f>INDEX(计算过程!$A$5:$A$30,MATCH(E2,计算过程!$E$5:$E$30))</f>
        <v>B--</v>
      </c>
      <c r="G2" s="34">
        <v>20</v>
      </c>
      <c r="H2" s="65" t="str">
        <f>INDEX(计算过程!$A$5:$A$30,MATCH(G2,计算过程!$H$5:$H$30))</f>
        <v>B-</v>
      </c>
      <c r="I2" s="34">
        <v>20</v>
      </c>
      <c r="J2" s="65" t="str">
        <f>INDEX(计算过程!$A$5:$A$30,MATCH(I2,计算过程!$K$5:$K$30))</f>
        <v>B--</v>
      </c>
      <c r="K2" s="34">
        <v>28</v>
      </c>
      <c r="L2" s="65" t="str">
        <f>INDEX(计算过程!$A$5:$A$30,MATCH(K2,计算过程!$N$5:$N$30))</f>
        <v>B--</v>
      </c>
      <c r="M2" s="34">
        <v>30</v>
      </c>
      <c r="N2" s="65" t="str">
        <f>INDEX(计算过程!$A$5:$A$30,MATCH(M2,计算过程!$Q$5:$Q$30))</f>
        <v>B-</v>
      </c>
      <c r="O2" s="65">
        <v>85</v>
      </c>
      <c r="P2" s="65" t="str">
        <f>INDEX(计算过程!$S$5:$S$14,MATCH(O2,计算过程!$T$5:$T$14))</f>
        <v>S+</v>
      </c>
      <c r="Q2" s="34">
        <v>8</v>
      </c>
      <c r="R2" s="33">
        <v>0.2</v>
      </c>
      <c r="S2" s="31">
        <v>9</v>
      </c>
    </row>
    <row r="3" s="37" customFormat="1" ht="25.05" customHeight="1" spans="1:19">
      <c r="A3" s="37" t="s">
        <v>15</v>
      </c>
      <c r="B3" s="37" t="s">
        <v>16</v>
      </c>
      <c r="C3" s="39">
        <f>(C2+C4)/2</f>
        <v>62.5</v>
      </c>
      <c r="D3" s="65" t="str">
        <f>INDEX(计算过程!$A$5:$A$30,MATCH(C3,计算过程!$B$5:$B$30))</f>
        <v>A-</v>
      </c>
      <c r="E3" s="39">
        <f t="shared" ref="E3:Q3" si="0">(E2+E4)/2</f>
        <v>52</v>
      </c>
      <c r="F3" s="65" t="str">
        <f>INDEX(计算过程!$A$5:$A$30,MATCH(E3,计算过程!$E$5:$E$30))</f>
        <v>A</v>
      </c>
      <c r="G3" s="39">
        <f t="shared" si="0"/>
        <v>60</v>
      </c>
      <c r="H3" s="65" t="str">
        <f>INDEX(计算过程!$A$5:$A$30,MATCH(G3,计算过程!$H$5:$H$30))</f>
        <v>A</v>
      </c>
      <c r="I3" s="39">
        <f t="shared" si="0"/>
        <v>60</v>
      </c>
      <c r="J3" s="65" t="str">
        <f>INDEX(计算过程!$A$5:$A$30,MATCH(I3,计算过程!$K$5:$K$30))</f>
        <v>A</v>
      </c>
      <c r="K3" s="39">
        <f t="shared" si="0"/>
        <v>58</v>
      </c>
      <c r="L3" s="65" t="str">
        <f>INDEX(计算过程!$A$5:$A$30,MATCH(K3,计算过程!$N$5:$N$30))</f>
        <v>A-</v>
      </c>
      <c r="M3" s="39">
        <f t="shared" si="0"/>
        <v>63</v>
      </c>
      <c r="N3" s="65" t="str">
        <f>INDEX(计算过程!$A$5:$A$30,MATCH(M3,计算过程!$Q$5:$Q$30))</f>
        <v>A+</v>
      </c>
      <c r="O3" s="65">
        <v>85</v>
      </c>
      <c r="P3" s="65" t="str">
        <f>INDEX(计算过程!$S$5:$S$14,MATCH(O3,计算过程!$T$5:$T$14))</f>
        <v>S+</v>
      </c>
      <c r="Q3" s="39">
        <f t="shared" si="0"/>
        <v>10</v>
      </c>
      <c r="R3" s="38">
        <v>0.4</v>
      </c>
      <c r="S3" s="37">
        <v>18</v>
      </c>
    </row>
    <row r="4" s="70" customFormat="1" ht="25.05" customHeight="1" spans="1:19">
      <c r="A4" s="70" t="s">
        <v>17</v>
      </c>
      <c r="B4" s="70" t="s">
        <v>18</v>
      </c>
      <c r="C4" s="73">
        <v>90</v>
      </c>
      <c r="D4" s="65" t="str">
        <f>INDEX(计算过程!$A$5:$A$30,MATCH(C4,计算过程!$B$5:$B$30))</f>
        <v>S-</v>
      </c>
      <c r="E4" s="73">
        <v>82</v>
      </c>
      <c r="F4" s="65" t="str">
        <f>INDEX(计算过程!$A$5:$A$30,MATCH(E4,计算过程!$E$5:$E$30))</f>
        <v>S+</v>
      </c>
      <c r="G4" s="73">
        <v>100</v>
      </c>
      <c r="H4" s="65" t="str">
        <f>INDEX(计算过程!$A$5:$A$30,MATCH(G4,计算过程!$H$5:$H$30))</f>
        <v>S++</v>
      </c>
      <c r="I4" s="73">
        <v>100</v>
      </c>
      <c r="J4" s="65" t="str">
        <f>INDEX(计算过程!$A$5:$A$30,MATCH(I4,计算过程!$K$5:$K$30))</f>
        <v>S++</v>
      </c>
      <c r="K4" s="73">
        <v>88</v>
      </c>
      <c r="L4" s="65" t="str">
        <f>INDEX(计算过程!$A$5:$A$30,MATCH(K4,计算过程!$N$5:$N$30))</f>
        <v>S-</v>
      </c>
      <c r="M4" s="73">
        <v>96</v>
      </c>
      <c r="N4" s="65" t="str">
        <f>INDEX(计算过程!$A$5:$A$30,MATCH(M4,计算过程!$Q$5:$Q$30))</f>
        <v>S++</v>
      </c>
      <c r="O4" s="65">
        <v>85</v>
      </c>
      <c r="P4" s="65" t="str">
        <f>INDEX(计算过程!$S$5:$S$14,MATCH(O4,计算过程!$T$5:$T$14))</f>
        <v>S+</v>
      </c>
      <c r="Q4" s="73">
        <v>12</v>
      </c>
      <c r="R4" s="79">
        <v>0.6</v>
      </c>
      <c r="S4" s="70">
        <v>27</v>
      </c>
    </row>
    <row r="5" s="70" customFormat="1" ht="25.05" customHeight="1" spans="1:19">
      <c r="A5" s="74" t="s">
        <v>19</v>
      </c>
      <c r="B5" s="74" t="s">
        <v>18</v>
      </c>
      <c r="C5" s="73">
        <f>C4*1.1</f>
        <v>99</v>
      </c>
      <c r="D5" s="65" t="str">
        <f>INDEX(计算过程!$A$5:$A$30,MATCH(C5,计算过程!$B$5:$B$30))</f>
        <v>S</v>
      </c>
      <c r="E5" s="73">
        <f>E4-15</f>
        <v>67</v>
      </c>
      <c r="F5" s="65" t="str">
        <f>INDEX(计算过程!$A$5:$A$30,MATCH(E5,计算过程!$E$5:$E$30))</f>
        <v>S--</v>
      </c>
      <c r="G5" s="73">
        <f>G4-12</f>
        <v>88</v>
      </c>
      <c r="H5" s="65" t="str">
        <f>INDEX(计算过程!$A$5:$A$30,MATCH(G5,计算过程!$H$5:$H$30))</f>
        <v>S</v>
      </c>
      <c r="I5" s="73">
        <f>I4-10</f>
        <v>90</v>
      </c>
      <c r="J5" s="65" t="str">
        <f>INDEX(计算过程!$A$5:$A$30,MATCH(I5,计算过程!$K$5:$K$30))</f>
        <v>S</v>
      </c>
      <c r="K5" s="73">
        <f>K4*1.05</f>
        <v>92.4</v>
      </c>
      <c r="L5" s="65" t="str">
        <f>INDEX(计算过程!$A$5:$A$30,MATCH(K5,计算过程!$N$5:$N$30))</f>
        <v>S</v>
      </c>
      <c r="M5" s="73">
        <f>M4*1.3</f>
        <v>124.8</v>
      </c>
      <c r="N5" s="65" t="str">
        <f>INDEX(计算过程!$A$5:$A$30,MATCH(M5,计算过程!$Q$5:$Q$30))</f>
        <v>SS++</v>
      </c>
      <c r="O5" s="65">
        <v>75</v>
      </c>
      <c r="P5" s="65" t="str">
        <f>INDEX(计算过程!$S$5:$S$14,MATCH(O5,计算过程!$T$5:$T$14))</f>
        <v>S-</v>
      </c>
      <c r="Q5" s="73">
        <v>10</v>
      </c>
      <c r="R5" s="79">
        <v>0.6</v>
      </c>
      <c r="S5" s="70">
        <v>27</v>
      </c>
    </row>
    <row r="6" s="71" customFormat="1" ht="25.05" customHeight="1" spans="1:19">
      <c r="A6" s="75" t="s">
        <v>20</v>
      </c>
      <c r="B6" s="71" t="s">
        <v>21</v>
      </c>
      <c r="C6" s="76">
        <f>C4*1.5</f>
        <v>135</v>
      </c>
      <c r="D6" s="65" t="str">
        <f>INDEX(计算过程!$A$5:$A$30,MATCH(C6,计算过程!$B$5:$B$30))</f>
        <v>SS+</v>
      </c>
      <c r="E6" s="76">
        <f>E4*1.5</f>
        <v>123</v>
      </c>
      <c r="F6" s="65" t="str">
        <f>INDEX(计算过程!$A$5:$A$30,MATCH(E6,计算过程!$E$5:$E$30))</f>
        <v>SSS</v>
      </c>
      <c r="G6" s="76">
        <f>G4*1.6</f>
        <v>160</v>
      </c>
      <c r="H6" s="65" t="str">
        <f>INDEX(计算过程!$A$5:$A$30,MATCH(G6,计算过程!$H$5:$H$30))</f>
        <v>SSS+</v>
      </c>
      <c r="I6" s="76">
        <f>I4*1.6</f>
        <v>160</v>
      </c>
      <c r="J6" s="65" t="str">
        <f>INDEX(计算过程!$A$5:$A$30,MATCH(I6,计算过程!$K$5:$K$30))</f>
        <v>SSS++</v>
      </c>
      <c r="K6" s="76">
        <f>K4*1.6</f>
        <v>140.8</v>
      </c>
      <c r="L6" s="65" t="str">
        <f>INDEX(计算过程!$A$5:$A$30,MATCH(K6,计算过程!$N$5:$N$30))</f>
        <v>SSS--</v>
      </c>
      <c r="M6" s="76">
        <f>M4*1.35</f>
        <v>129.6</v>
      </c>
      <c r="N6" s="65" t="str">
        <f>INDEX(计算过程!$A$5:$A$30,MATCH(M6,计算过程!$Q$5:$Q$30))</f>
        <v>SSS--</v>
      </c>
      <c r="O6" s="65">
        <v>75</v>
      </c>
      <c r="P6" s="65" t="str">
        <f>INDEX(计算过程!$S$5:$S$14,MATCH(O6,计算过程!$T$5:$T$14))</f>
        <v>S-</v>
      </c>
      <c r="Q6" s="76">
        <v>16</v>
      </c>
      <c r="R6" s="80">
        <v>0.8</v>
      </c>
      <c r="S6" s="71">
        <v>45</v>
      </c>
    </row>
    <row r="7" s="71" customFormat="1" ht="25.05" customHeight="1" spans="1:19">
      <c r="A7" s="71" t="s">
        <v>22</v>
      </c>
      <c r="B7" s="71" t="s">
        <v>21</v>
      </c>
      <c r="C7" s="76">
        <f>C4*1.6</f>
        <v>144</v>
      </c>
      <c r="D7" s="65" t="str">
        <f>INDEX(计算过程!$A$5:$A$30,MATCH(C7,计算过程!$B$5:$B$30))</f>
        <v>SS++</v>
      </c>
      <c r="E7" s="76">
        <f>E4*1.45</f>
        <v>118.9</v>
      </c>
      <c r="F7" s="65" t="str">
        <f>INDEX(计算过程!$A$5:$A$30,MATCH(E7,计算过程!$E$5:$E$30))</f>
        <v>SSS-</v>
      </c>
      <c r="G7" s="76">
        <f>G4*1.4</f>
        <v>140</v>
      </c>
      <c r="H7" s="65" t="str">
        <f>INDEX(计算过程!$A$5:$A$30,MATCH(G7,计算过程!$H$5:$H$30))</f>
        <v>SSS--</v>
      </c>
      <c r="I7" s="76">
        <f>I4*1.5</f>
        <v>150</v>
      </c>
      <c r="J7" s="65" t="str">
        <f>INDEX(计算过程!$A$5:$A$30,MATCH(I7,计算过程!$K$5:$K$30))</f>
        <v>SSS</v>
      </c>
      <c r="K7" s="76">
        <f>K4*1.4</f>
        <v>123.2</v>
      </c>
      <c r="L7" s="65" t="str">
        <f>INDEX(计算过程!$A$5:$A$30,MATCH(K7,计算过程!$N$5:$N$30))</f>
        <v>SS</v>
      </c>
      <c r="M7" s="76">
        <f>M4*1.5</f>
        <v>144</v>
      </c>
      <c r="N7" s="65" t="str">
        <f>INDEX(计算过程!$A$5:$A$30,MATCH(M7,计算过程!$Q$5:$Q$30))</f>
        <v>SSS+</v>
      </c>
      <c r="O7" s="65">
        <v>80</v>
      </c>
      <c r="P7" s="65" t="str">
        <f>INDEX(计算过程!$S$5:$S$14,MATCH(O7,计算过程!$T$5:$T$14))</f>
        <v>S</v>
      </c>
      <c r="Q7" s="76">
        <v>16</v>
      </c>
      <c r="R7" s="80">
        <v>0.8</v>
      </c>
      <c r="S7" s="71">
        <v>45</v>
      </c>
    </row>
    <row r="8" s="31" customFormat="1" ht="25.05" customHeight="1" spans="1:19">
      <c r="A8" s="31" t="s">
        <v>23</v>
      </c>
      <c r="B8" s="31" t="s">
        <v>14</v>
      </c>
      <c r="C8" s="34">
        <f>C2*0.65</f>
        <v>22.75</v>
      </c>
      <c r="D8" s="65" t="str">
        <f>INDEX(计算过程!$A$5:$A$30,MATCH(C8,计算过程!$B$5:$B$30))</f>
        <v>B--</v>
      </c>
      <c r="E8" s="34">
        <f>E2*1.5</f>
        <v>33</v>
      </c>
      <c r="F8" s="65" t="str">
        <f>INDEX(计算过程!$A$5:$A$30,MATCH(E8,计算过程!$E$5:$E$30))</f>
        <v>B+</v>
      </c>
      <c r="G8" s="34">
        <f>G2*1.8</f>
        <v>36</v>
      </c>
      <c r="H8" s="65" t="str">
        <f>INDEX(计算过程!$A$5:$A$30,MATCH(G8,计算过程!$H$5:$H$30))</f>
        <v>B++</v>
      </c>
      <c r="I8" s="34">
        <f t="shared" ref="I8" si="1">I2*1.5</f>
        <v>30</v>
      </c>
      <c r="J8" s="65" t="str">
        <f>INDEX(计算过程!$A$5:$A$30,MATCH(I8,计算过程!$K$5:$K$30))</f>
        <v>B</v>
      </c>
      <c r="K8" s="34">
        <f>K2*1.4</f>
        <v>39.2</v>
      </c>
      <c r="L8" s="65" t="str">
        <f>INDEX(计算过程!$A$5:$A$30,MATCH(K8,计算过程!$N$5:$N$30))</f>
        <v>B</v>
      </c>
      <c r="M8" s="34">
        <f>M2*0.67</f>
        <v>20.1</v>
      </c>
      <c r="N8" s="65" t="str">
        <f>INDEX(计算过程!$A$5:$A$30,MATCH(M8,计算过程!$Q$5:$Q$30))</f>
        <v>B--</v>
      </c>
      <c r="O8" s="65">
        <v>55</v>
      </c>
      <c r="P8" s="65" t="str">
        <f>INDEX(计算过程!$S$5:$S$14,MATCH(O8,计算过程!$T$5:$T$14))</f>
        <v>B</v>
      </c>
      <c r="Q8" s="34">
        <v>8</v>
      </c>
      <c r="R8" s="33">
        <v>0.2</v>
      </c>
      <c r="S8" s="31">
        <v>9</v>
      </c>
    </row>
    <row r="9" s="37" customFormat="1" ht="25.05" customHeight="1" spans="1:19">
      <c r="A9" s="37" t="s">
        <v>24</v>
      </c>
      <c r="B9" s="37" t="s">
        <v>16</v>
      </c>
      <c r="C9" s="39">
        <f>C3*0.65</f>
        <v>40.625</v>
      </c>
      <c r="D9" s="65" t="str">
        <f>INDEX(计算过程!$A$5:$A$30,MATCH(C9,计算过程!$B$5:$B$30))</f>
        <v>B</v>
      </c>
      <c r="E9" s="39">
        <f>(E8+E10)/2</f>
        <v>69.8</v>
      </c>
      <c r="F9" s="65" t="str">
        <f>INDEX(计算过程!$A$5:$A$30,MATCH(E9,计算过程!$E$5:$E$30))</f>
        <v>S--</v>
      </c>
      <c r="G9" s="39">
        <f t="shared" ref="G9:I9" si="2">G3*1.5</f>
        <v>90</v>
      </c>
      <c r="H9" s="65" t="str">
        <f>INDEX(计算过程!$A$5:$A$30,MATCH(G9,计算过程!$H$5:$H$30))</f>
        <v>S</v>
      </c>
      <c r="I9" s="39">
        <f t="shared" si="2"/>
        <v>90</v>
      </c>
      <c r="J9" s="65" t="str">
        <f>INDEX(计算过程!$A$5:$A$30,MATCH(I9,计算过程!$K$5:$K$30))</f>
        <v>S</v>
      </c>
      <c r="K9" s="39">
        <f>K3*1.4</f>
        <v>81.2</v>
      </c>
      <c r="L9" s="65" t="str">
        <f>INDEX(计算过程!$A$5:$A$30,MATCH(K9,计算过程!$N$5:$N$30))</f>
        <v>S--</v>
      </c>
      <c r="M9" s="39">
        <f>M3*0.65</f>
        <v>40.95</v>
      </c>
      <c r="N9" s="65" t="str">
        <f>INDEX(计算过程!$A$5:$A$30,MATCH(M9,计算过程!$Q$5:$Q$30))</f>
        <v>B+</v>
      </c>
      <c r="O9" s="65">
        <v>55</v>
      </c>
      <c r="P9" s="65" t="str">
        <f>INDEX(计算过程!$S$5:$S$14,MATCH(O9,计算过程!$T$5:$T$14))</f>
        <v>B</v>
      </c>
      <c r="Q9" s="39">
        <v>10</v>
      </c>
      <c r="R9" s="38">
        <v>0.4</v>
      </c>
      <c r="S9" s="37">
        <v>18</v>
      </c>
    </row>
    <row r="10" s="70" customFormat="1" ht="25.05" customHeight="1" spans="1:19">
      <c r="A10" s="70" t="s">
        <v>25</v>
      </c>
      <c r="B10" s="70" t="s">
        <v>18</v>
      </c>
      <c r="C10" s="73">
        <f>C4*0.68</f>
        <v>61.2</v>
      </c>
      <c r="D10" s="65" t="str">
        <f>INDEX(计算过程!$A$5:$A$30,MATCH(C10,计算过程!$B$5:$B$30))</f>
        <v>A-</v>
      </c>
      <c r="E10" s="73">
        <f>E4*1.3</f>
        <v>106.6</v>
      </c>
      <c r="F10" s="65" t="str">
        <f>INDEX(计算过程!$A$5:$A$30,MATCH(E10,计算过程!$E$5:$E$30))</f>
        <v>SS+</v>
      </c>
      <c r="G10" s="73">
        <f>G4*1.5</f>
        <v>150</v>
      </c>
      <c r="H10" s="65" t="str">
        <f>INDEX(计算过程!$A$5:$A$30,MATCH(G10,计算过程!$H$5:$H$30))</f>
        <v>SSS</v>
      </c>
      <c r="I10" s="73">
        <f>I4*1.2</f>
        <v>120</v>
      </c>
      <c r="J10" s="65" t="str">
        <f>INDEX(计算过程!$A$5:$A$30,MATCH(I10,计算过程!$K$5:$K$30))</f>
        <v>SS</v>
      </c>
      <c r="K10" s="73">
        <f>K4*1.4</f>
        <v>123.2</v>
      </c>
      <c r="L10" s="65" t="str">
        <f>INDEX(计算过程!$A$5:$A$30,MATCH(K10,计算过程!$N$5:$N$30))</f>
        <v>SS</v>
      </c>
      <c r="M10" s="73">
        <f>M4*0.65</f>
        <v>62.4</v>
      </c>
      <c r="N10" s="65" t="str">
        <f>INDEX(计算过程!$A$5:$A$30,MATCH(M10,计算过程!$Q$5:$Q$30))</f>
        <v>A+</v>
      </c>
      <c r="O10" s="65">
        <v>55</v>
      </c>
      <c r="P10" s="65" t="str">
        <f>INDEX(计算过程!$S$5:$S$14,MATCH(O10,计算过程!$T$5:$T$14))</f>
        <v>B</v>
      </c>
      <c r="Q10" s="73">
        <v>12</v>
      </c>
      <c r="R10" s="79">
        <v>0.6</v>
      </c>
      <c r="S10" s="70">
        <v>27</v>
      </c>
    </row>
    <row r="11" s="37" customFormat="1" ht="25.05" customHeight="1" spans="1:19">
      <c r="A11" s="37" t="s">
        <v>26</v>
      </c>
      <c r="B11" s="37" t="s">
        <v>16</v>
      </c>
      <c r="C11" s="39">
        <f>C9+2</f>
        <v>42.625</v>
      </c>
      <c r="D11" s="65" t="str">
        <f>INDEX(计算过程!$A$5:$A$30,MATCH(C11,计算过程!$B$5:$B$30))</f>
        <v>B+</v>
      </c>
      <c r="E11" s="39">
        <f>E9*8/9</f>
        <v>62.0444444444445</v>
      </c>
      <c r="F11" s="65" t="str">
        <f>INDEX(计算过程!$A$5:$A$30,MATCH(E11,计算过程!$E$5:$E$30))</f>
        <v>A++</v>
      </c>
      <c r="G11" s="39">
        <f>G9*8/9</f>
        <v>80</v>
      </c>
      <c r="H11" s="65" t="str">
        <f>INDEX(计算过程!$A$5:$A$30,MATCH(G11,计算过程!$H$5:$H$30))</f>
        <v>S-</v>
      </c>
      <c r="I11" s="39">
        <f>I9*8/9</f>
        <v>80</v>
      </c>
      <c r="J11" s="65" t="str">
        <f>INDEX(计算过程!$A$5:$A$30,MATCH(I11,计算过程!$K$5:$K$30))</f>
        <v>S--</v>
      </c>
      <c r="K11" s="39">
        <f>K9*8/9</f>
        <v>72.1777777777778</v>
      </c>
      <c r="L11" s="65" t="str">
        <f>INDEX(计算过程!$A$5:$A$30,MATCH(K11,计算过程!$N$5:$N$30))</f>
        <v>A+</v>
      </c>
      <c r="M11" s="39">
        <f>M9*8/9+10</f>
        <v>46.4</v>
      </c>
      <c r="N11" s="65" t="str">
        <f>INDEX(计算过程!$A$5:$A$30,MATCH(M11,计算过程!$Q$5:$Q$30))</f>
        <v>B++</v>
      </c>
      <c r="O11" s="65">
        <v>50</v>
      </c>
      <c r="P11" s="65" t="str">
        <f>INDEX(计算过程!$S$5:$S$14,MATCH(O11,计算过程!$T$5:$T$14))</f>
        <v>B-</v>
      </c>
      <c r="Q11" s="39">
        <v>10</v>
      </c>
      <c r="R11" s="38">
        <v>0.4</v>
      </c>
      <c r="S11" s="37">
        <v>15</v>
      </c>
    </row>
    <row r="12" s="70" customFormat="1" ht="25.05" customHeight="1" spans="1:19">
      <c r="A12" s="70" t="s">
        <v>27</v>
      </c>
      <c r="B12" s="70" t="s">
        <v>18</v>
      </c>
      <c r="C12" s="73">
        <f>C10*1.35</f>
        <v>82.62</v>
      </c>
      <c r="D12" s="65" t="str">
        <f>INDEX(计算过程!$A$5:$A$30,MATCH(C12,计算过程!$B$5:$B$30))</f>
        <v>A++</v>
      </c>
      <c r="E12" s="73">
        <f>E10*0.75</f>
        <v>79.95</v>
      </c>
      <c r="F12" s="65" t="str">
        <f>INDEX(计算过程!$A$5:$A$30,MATCH(E12,计算过程!$E$5:$E$30))</f>
        <v>S+</v>
      </c>
      <c r="G12" s="73">
        <f>G10*13/14-15</f>
        <v>124.285714285714</v>
      </c>
      <c r="H12" s="65" t="str">
        <f>INDEX(计算过程!$A$5:$A$30,MATCH(G12,计算过程!$H$5:$H$30))</f>
        <v>SS</v>
      </c>
      <c r="I12" s="73">
        <f>I10*13/14-10</f>
        <v>101.428571428571</v>
      </c>
      <c r="J12" s="65" t="str">
        <f>INDEX(计算过程!$A$5:$A$30,MATCH(I12,计算过程!$K$5:$K$30))</f>
        <v>S++</v>
      </c>
      <c r="K12" s="73">
        <f>K10*0.7</f>
        <v>86.24</v>
      </c>
      <c r="L12" s="65" t="str">
        <f>INDEX(计算过程!$A$5:$A$30,MATCH(K12,计算过程!$N$5:$N$30))</f>
        <v>S-</v>
      </c>
      <c r="M12" s="73">
        <f>M10*1.35</f>
        <v>84.24</v>
      </c>
      <c r="N12" s="65" t="str">
        <f>INDEX(计算过程!$A$5:$A$30,MATCH(M12,计算过程!$Q$5:$Q$30))</f>
        <v>S</v>
      </c>
      <c r="O12" s="65">
        <v>50</v>
      </c>
      <c r="P12" s="65" t="str">
        <f>INDEX(计算过程!$S$5:$S$14,MATCH(O12,计算过程!$T$5:$T$14))</f>
        <v>B-</v>
      </c>
      <c r="Q12" s="73">
        <v>12</v>
      </c>
      <c r="R12" s="79">
        <v>0.6</v>
      </c>
      <c r="S12" s="70">
        <v>27</v>
      </c>
    </row>
    <row r="13" s="70" customFormat="1" ht="25.05" customHeight="1" spans="1:19">
      <c r="A13" s="70" t="s">
        <v>28</v>
      </c>
      <c r="B13" s="70" t="s">
        <v>18</v>
      </c>
      <c r="C13" s="73">
        <f>C11*1.35</f>
        <v>57.54375</v>
      </c>
      <c r="D13" s="65" t="str">
        <f>INDEX(计算过程!$A$5:$A$30,MATCH(C13,计算过程!$B$5:$B$30))</f>
        <v>A--</v>
      </c>
      <c r="E13" s="73">
        <f>E10+8</f>
        <v>114.6</v>
      </c>
      <c r="F13" s="65" t="str">
        <f>INDEX(计算过程!$A$5:$A$30,MATCH(E13,计算过程!$E$5:$E$30))</f>
        <v>SSS--</v>
      </c>
      <c r="G13" s="73">
        <f>G10+5</f>
        <v>155</v>
      </c>
      <c r="H13" s="65" t="str">
        <f>INDEX(计算过程!$A$5:$A$30,MATCH(G13,计算过程!$H$5:$H$30))</f>
        <v>SSS</v>
      </c>
      <c r="I13" s="73">
        <f>I10-6</f>
        <v>114</v>
      </c>
      <c r="J13" s="65" t="str">
        <f>INDEX(计算过程!$A$5:$A$30,MATCH(I13,计算过程!$K$5:$K$30))</f>
        <v>SS-</v>
      </c>
      <c r="K13" s="73">
        <f>K10-10</f>
        <v>113.2</v>
      </c>
      <c r="L13" s="65" t="str">
        <f>INDEX(计算过程!$A$5:$A$30,MATCH(K13,计算过程!$N$5:$N$30))</f>
        <v>SS--</v>
      </c>
      <c r="M13" s="73">
        <f>M10+10</f>
        <v>72.4</v>
      </c>
      <c r="N13" s="65" t="str">
        <f>INDEX(计算过程!$A$5:$A$30,MATCH(M13,计算过程!$Q$5:$Q$30))</f>
        <v>A++</v>
      </c>
      <c r="O13" s="65">
        <v>50</v>
      </c>
      <c r="P13" s="65" t="str">
        <f>INDEX(计算过程!$S$5:$S$14,MATCH(O13,计算过程!$T$5:$T$14))</f>
        <v>B-</v>
      </c>
      <c r="Q13" s="73">
        <v>14</v>
      </c>
      <c r="R13" s="79">
        <v>0.6</v>
      </c>
      <c r="S13" s="70">
        <v>27</v>
      </c>
    </row>
    <row r="14" s="70" customFormat="1" ht="25.05" customHeight="1" spans="1:19">
      <c r="A14" s="70" t="s">
        <v>29</v>
      </c>
      <c r="B14" s="70" t="s">
        <v>18</v>
      </c>
      <c r="C14" s="73">
        <f>C10*1.4</f>
        <v>85.68</v>
      </c>
      <c r="D14" s="65" t="str">
        <f>INDEX(计算过程!$A$5:$A$30,MATCH(C14,计算过程!$B$5:$B$30))</f>
        <v>S--</v>
      </c>
      <c r="E14" s="73">
        <f>E10*0.8</f>
        <v>85.28</v>
      </c>
      <c r="F14" s="65" t="str">
        <f>INDEX(计算过程!$A$5:$A$30,MATCH(E14,计算过程!$E$5:$E$30))</f>
        <v>S++</v>
      </c>
      <c r="G14" s="73">
        <f>G10*0.9</f>
        <v>135</v>
      </c>
      <c r="H14" s="65" t="str">
        <f>INDEX(计算过程!$A$5:$A$30,MATCH(G14,计算过程!$H$5:$H$30))</f>
        <v>SS++</v>
      </c>
      <c r="I14" s="73">
        <f>I10-6</f>
        <v>114</v>
      </c>
      <c r="J14" s="65" t="str">
        <f>INDEX(计算过程!$A$5:$A$30,MATCH(I14,计算过程!$K$5:$K$30))</f>
        <v>SS-</v>
      </c>
      <c r="K14" s="73">
        <f>K10-25</f>
        <v>98.2</v>
      </c>
      <c r="L14" s="65" t="str">
        <f>INDEX(计算过程!$A$5:$A$30,MATCH(K14,计算过程!$N$5:$N$30))</f>
        <v>S+</v>
      </c>
      <c r="M14" s="73">
        <f>M10+17</f>
        <v>79.4</v>
      </c>
      <c r="N14" s="65" t="str">
        <f>INDEX(计算过程!$A$5:$A$30,MATCH(M14,计算过程!$Q$5:$Q$30))</f>
        <v>S-</v>
      </c>
      <c r="O14" s="65">
        <v>65</v>
      </c>
      <c r="P14" s="65" t="str">
        <f>INDEX(计算过程!$S$5:$S$14,MATCH(O14,计算过程!$T$5:$T$14))</f>
        <v>A-</v>
      </c>
      <c r="Q14" s="73">
        <v>12</v>
      </c>
      <c r="R14" s="79">
        <v>0.6</v>
      </c>
      <c r="S14" s="70">
        <v>27</v>
      </c>
    </row>
    <row r="15" s="71" customFormat="1" ht="25.05" customHeight="1" spans="1:19">
      <c r="A15" s="71" t="s">
        <v>30</v>
      </c>
      <c r="B15" s="71" t="s">
        <v>21</v>
      </c>
      <c r="C15" s="76">
        <f>C14*1.4</f>
        <v>119.952</v>
      </c>
      <c r="D15" s="65" t="str">
        <f>INDEX(计算过程!$A$5:$A$30,MATCH(C15,计算过程!$B$5:$B$30))</f>
        <v>SS--</v>
      </c>
      <c r="E15" s="76">
        <f>E14*1.6</f>
        <v>136.448</v>
      </c>
      <c r="F15" s="65" t="str">
        <f>INDEX(计算过程!$A$5:$A$30,MATCH(E15,计算过程!$E$5:$E$30))</f>
        <v>SSS++</v>
      </c>
      <c r="G15" s="76">
        <f>G14*1.25</f>
        <v>168.75</v>
      </c>
      <c r="H15" s="65" t="str">
        <f>INDEX(计算过程!$A$5:$A$30,MATCH(G15,计算过程!$H$5:$H$30))</f>
        <v>SSS++</v>
      </c>
      <c r="I15" s="76">
        <f>I14*1.45</f>
        <v>165.3</v>
      </c>
      <c r="J15" s="65" t="str">
        <f>INDEX(计算过程!$A$5:$A$30,MATCH(I15,计算过程!$K$5:$K$30))</f>
        <v>SSS++</v>
      </c>
      <c r="K15" s="76">
        <f>K14*1.7</f>
        <v>166.94</v>
      </c>
      <c r="L15" s="65" t="str">
        <f>INDEX(计算过程!$A$5:$A$30,MATCH(K15,计算过程!$N$5:$N$30))</f>
        <v>SSS++</v>
      </c>
      <c r="M15" s="76">
        <f>M14*1.5</f>
        <v>119.1</v>
      </c>
      <c r="N15" s="65" t="str">
        <f>INDEX(计算过程!$A$5:$A$30,MATCH(M15,计算过程!$Q$5:$Q$30))</f>
        <v>SS+</v>
      </c>
      <c r="O15" s="65">
        <v>65</v>
      </c>
      <c r="P15" s="65" t="str">
        <f>INDEX(计算过程!$S$5:$S$14,MATCH(O15,计算过程!$T$5:$T$14))</f>
        <v>A-</v>
      </c>
      <c r="Q15" s="76">
        <v>16</v>
      </c>
      <c r="R15" s="80">
        <v>0.8</v>
      </c>
      <c r="S15" s="71">
        <v>45</v>
      </c>
    </row>
    <row r="16" s="31" customFormat="1" ht="25.05" customHeight="1" spans="1:19">
      <c r="A16" s="31" t="s">
        <v>31</v>
      </c>
      <c r="B16" s="31" t="s">
        <v>14</v>
      </c>
      <c r="C16" s="34">
        <f>C2*1.3</f>
        <v>45.5</v>
      </c>
      <c r="D16" s="65" t="str">
        <f>INDEX(计算过程!$A$5:$A$30,MATCH(C16,计算过程!$B$5:$B$30))</f>
        <v>B+</v>
      </c>
      <c r="E16" s="34">
        <f>E2*0.8</f>
        <v>17.6</v>
      </c>
      <c r="F16" s="65" t="str">
        <f>INDEX(计算过程!$A$5:$A$30,MATCH(E16,计算过程!$E$5:$E$30))</f>
        <v>B--</v>
      </c>
      <c r="G16" s="34">
        <f>G2*0.5</f>
        <v>10</v>
      </c>
      <c r="H16" s="65" t="str">
        <f>INDEX(计算过程!$A$5:$A$30,MATCH(G16,计算过程!$H$5:$H$30))</f>
        <v>B--</v>
      </c>
      <c r="I16" s="34">
        <f>I2*0.75</f>
        <v>15</v>
      </c>
      <c r="J16" s="65" t="str">
        <f>INDEX(计算过程!$A$5:$A$30,MATCH(I16,计算过程!$K$5:$K$30))</f>
        <v>B--</v>
      </c>
      <c r="K16" s="34">
        <f>K2*0.8</f>
        <v>22.4</v>
      </c>
      <c r="L16" s="65" t="str">
        <f>INDEX(计算过程!$A$5:$A$30,MATCH(K16,计算过程!$N$5:$N$30))</f>
        <v>B--</v>
      </c>
      <c r="M16" s="34">
        <f>M2*1.3</f>
        <v>39</v>
      </c>
      <c r="N16" s="65" t="str">
        <f>INDEX(计算过程!$A$5:$A$30,MATCH(M16,计算过程!$Q$5:$Q$30))</f>
        <v>B+</v>
      </c>
      <c r="O16" s="65">
        <v>75</v>
      </c>
      <c r="P16" s="65" t="str">
        <f>INDEX(计算过程!$S$5:$S$14,MATCH(O16,计算过程!$T$5:$T$14))</f>
        <v>S-</v>
      </c>
      <c r="Q16" s="34">
        <v>8</v>
      </c>
      <c r="R16" s="33">
        <v>0.2</v>
      </c>
      <c r="S16" s="31">
        <v>12</v>
      </c>
    </row>
    <row r="17" s="37" customFormat="1" ht="25.05" customHeight="1" spans="1:19">
      <c r="A17" s="37" t="s">
        <v>32</v>
      </c>
      <c r="B17" s="37" t="s">
        <v>16</v>
      </c>
      <c r="C17" s="39">
        <f>C3*1.3</f>
        <v>81.25</v>
      </c>
      <c r="D17" s="65" t="str">
        <f>INDEX(计算过程!$A$5:$A$30,MATCH(C17,计算过程!$B$5:$B$30))</f>
        <v>A++</v>
      </c>
      <c r="E17" s="39">
        <f>E3*0.8</f>
        <v>41.6</v>
      </c>
      <c r="F17" s="65" t="str">
        <f>INDEX(计算过程!$A$5:$A$30,MATCH(E17,计算过程!$E$5:$E$30))</f>
        <v>A--</v>
      </c>
      <c r="G17" s="39">
        <f>G16*0.5+G18*0.5</f>
        <v>45</v>
      </c>
      <c r="H17" s="65" t="str">
        <f>INDEX(计算过程!$A$5:$A$30,MATCH(G17,计算过程!$H$5:$H$30))</f>
        <v>A--</v>
      </c>
      <c r="I17" s="39">
        <f>I16*0.5+I18*0.5</f>
        <v>47.5</v>
      </c>
      <c r="J17" s="65" t="str">
        <f>INDEX(计算过程!$A$5:$A$30,MATCH(I17,计算过程!$K$5:$K$30))</f>
        <v>A--</v>
      </c>
      <c r="K17" s="39">
        <f>K3*0.85</f>
        <v>49.3</v>
      </c>
      <c r="L17" s="65" t="str">
        <f>INDEX(计算过程!$A$5:$A$30,MATCH(K17,计算过程!$N$5:$N$30))</f>
        <v>B++</v>
      </c>
      <c r="M17" s="39">
        <f>M3*1.3</f>
        <v>81.9</v>
      </c>
      <c r="N17" s="65" t="str">
        <f>INDEX(计算过程!$A$5:$A$30,MATCH(M17,计算过程!$Q$5:$Q$30))</f>
        <v>S-</v>
      </c>
      <c r="O17" s="65">
        <v>75</v>
      </c>
      <c r="P17" s="65" t="str">
        <f>INDEX(计算过程!$S$5:$S$14,MATCH(O17,计算过程!$T$5:$T$14))</f>
        <v>S-</v>
      </c>
      <c r="Q17" s="39">
        <v>10</v>
      </c>
      <c r="R17" s="38">
        <v>0.4</v>
      </c>
      <c r="S17" s="37">
        <v>18</v>
      </c>
    </row>
    <row r="18" s="70" customFormat="1" ht="25.05" customHeight="1" spans="1:19">
      <c r="A18" s="70" t="s">
        <v>33</v>
      </c>
      <c r="B18" s="70" t="s">
        <v>18</v>
      </c>
      <c r="C18" s="73">
        <f>C4*1.3</f>
        <v>117</v>
      </c>
      <c r="D18" s="65" t="str">
        <f>INDEX(计算过程!$A$5:$A$30,MATCH(C18,计算过程!$B$5:$B$30))</f>
        <v>SS--</v>
      </c>
      <c r="E18" s="73">
        <f>E4*0.8</f>
        <v>65.6</v>
      </c>
      <c r="F18" s="65" t="str">
        <f>INDEX(计算过程!$A$5:$A$30,MATCH(E18,计算过程!$E$5:$E$30))</f>
        <v>S--</v>
      </c>
      <c r="G18" s="73">
        <f>G4*0.8</f>
        <v>80</v>
      </c>
      <c r="H18" s="65" t="str">
        <f>INDEX(计算过程!$A$5:$A$30,MATCH(G18,计算过程!$H$5:$H$30))</f>
        <v>S-</v>
      </c>
      <c r="I18" s="73">
        <f>I4*0.8</f>
        <v>80</v>
      </c>
      <c r="J18" s="65" t="str">
        <f>INDEX(计算过程!$A$5:$A$30,MATCH(I18,计算过程!$K$5:$K$30))</f>
        <v>S--</v>
      </c>
      <c r="K18" s="73">
        <f>K4*0.85</f>
        <v>74.8</v>
      </c>
      <c r="L18" s="65" t="str">
        <f>INDEX(计算过程!$A$5:$A$30,MATCH(K18,计算过程!$N$5:$N$30))</f>
        <v>A++</v>
      </c>
      <c r="M18" s="73">
        <f>M4*1.3</f>
        <v>124.8</v>
      </c>
      <c r="N18" s="65" t="str">
        <f>INDEX(计算过程!$A$5:$A$30,MATCH(M18,计算过程!$Q$5:$Q$30))</f>
        <v>SS++</v>
      </c>
      <c r="O18" s="65">
        <v>75</v>
      </c>
      <c r="P18" s="65" t="str">
        <f>INDEX(计算过程!$S$5:$S$14,MATCH(O18,计算过程!$T$5:$T$14))</f>
        <v>S-</v>
      </c>
      <c r="Q18" s="73">
        <v>12</v>
      </c>
      <c r="R18" s="79">
        <v>0.6</v>
      </c>
      <c r="S18" s="70">
        <v>27</v>
      </c>
    </row>
    <row r="19" s="71" customFormat="1" ht="25.05" customHeight="1" spans="1:19">
      <c r="A19" s="71" t="s">
        <v>34</v>
      </c>
      <c r="B19" s="71" t="s">
        <v>21</v>
      </c>
      <c r="C19" s="76">
        <f>C18*1.5</f>
        <v>175.5</v>
      </c>
      <c r="D19" s="65" t="str">
        <f>INDEX(计算过程!$A$5:$A$30,MATCH(C19,计算过程!$B$5:$B$30))</f>
        <v>SSS++</v>
      </c>
      <c r="E19" s="76">
        <f>E6*0.8</f>
        <v>98.4</v>
      </c>
      <c r="F19" s="65" t="str">
        <f>INDEX(计算过程!$A$5:$A$30,MATCH(E19,计算过程!$E$5:$E$30))</f>
        <v>SS-</v>
      </c>
      <c r="G19" s="76">
        <f>G6*0.92</f>
        <v>147.2</v>
      </c>
      <c r="H19" s="65" t="str">
        <f>INDEX(计算过程!$A$5:$A$30,MATCH(G19,计算过程!$H$5:$H$30))</f>
        <v>SSS-</v>
      </c>
      <c r="I19" s="76">
        <f>I6*0.92</f>
        <v>147.2</v>
      </c>
      <c r="J19" s="65" t="str">
        <f>INDEX(计算过程!$A$5:$A$30,MATCH(I19,计算过程!$K$5:$K$30))</f>
        <v>SSS-</v>
      </c>
      <c r="K19" s="76">
        <f>K6*0.85</f>
        <v>119.68</v>
      </c>
      <c r="L19" s="65" t="str">
        <f>INDEX(计算过程!$A$5:$A$30,MATCH(K19,计算过程!$N$5:$N$30))</f>
        <v>SS-</v>
      </c>
      <c r="M19" s="76">
        <f>M18*1.22</f>
        <v>152.256</v>
      </c>
      <c r="N19" s="65" t="str">
        <f>INDEX(计算过程!$A$5:$A$30,MATCH(M19,计算过程!$Q$5:$Q$30))</f>
        <v>SSS++</v>
      </c>
      <c r="O19" s="65">
        <v>75</v>
      </c>
      <c r="P19" s="65" t="str">
        <f>INDEX(计算过程!$S$5:$S$14,MATCH(O19,计算过程!$T$5:$T$14))</f>
        <v>S-</v>
      </c>
      <c r="Q19" s="76">
        <v>16</v>
      </c>
      <c r="R19" s="80">
        <v>0.8</v>
      </c>
      <c r="S19" s="71">
        <v>45</v>
      </c>
    </row>
    <row r="20" ht="25.05" customHeight="1" spans="3:16">
      <c r="C20" s="64"/>
      <c r="D20" s="65"/>
      <c r="E20" s="64"/>
      <c r="F20" s="65"/>
      <c r="G20" s="64"/>
      <c r="H20" s="65"/>
      <c r="I20" s="64"/>
      <c r="J20" s="65"/>
      <c r="K20" s="64"/>
      <c r="L20" s="65"/>
      <c r="M20" s="64"/>
      <c r="N20" s="65"/>
      <c r="O20" s="65"/>
      <c r="P20" s="65"/>
    </row>
    <row r="21" customFormat="1" ht="25.05" customHeight="1" spans="1:18">
      <c r="A21" s="24"/>
      <c r="B21" s="24"/>
      <c r="C21" s="64"/>
      <c r="D21" s="65"/>
      <c r="E21" s="64"/>
      <c r="F21" s="65"/>
      <c r="G21" s="64"/>
      <c r="H21" s="65"/>
      <c r="I21" s="64"/>
      <c r="J21" s="65"/>
      <c r="K21" s="64"/>
      <c r="L21" s="65"/>
      <c r="M21" s="64"/>
      <c r="N21" s="65"/>
      <c r="O21" s="65"/>
      <c r="P21" s="65"/>
      <c r="Q21" s="24"/>
      <c r="R21" s="81"/>
    </row>
    <row r="22" customFormat="1" ht="25.05" customHeight="1" spans="1:18">
      <c r="A22" s="24"/>
      <c r="B22" s="24"/>
      <c r="C22" s="24"/>
      <c r="D22" s="63"/>
      <c r="E22" s="24"/>
      <c r="F22" s="63"/>
      <c r="G22" s="24"/>
      <c r="H22" s="63"/>
      <c r="I22" s="24"/>
      <c r="J22" s="63"/>
      <c r="K22" s="24"/>
      <c r="L22" s="63"/>
      <c r="M22" s="24"/>
      <c r="N22" s="63"/>
      <c r="O22" s="63"/>
      <c r="P22" s="63"/>
      <c r="Q22" s="24"/>
      <c r="R22" s="81"/>
    </row>
    <row r="23" s="31" customFormat="1" ht="25.05" customHeight="1" spans="1:18">
      <c r="A23" s="31" t="s">
        <v>35</v>
      </c>
      <c r="B23" s="31" t="s">
        <v>14</v>
      </c>
      <c r="C23" s="31">
        <v>3.5</v>
      </c>
      <c r="D23" s="31">
        <f t="shared" ref="D23:H23" si="3">C23*9</f>
        <v>31.5</v>
      </c>
      <c r="E23" s="31">
        <v>1.2</v>
      </c>
      <c r="F23" s="31">
        <f t="shared" si="3"/>
        <v>10.8</v>
      </c>
      <c r="G23" s="31">
        <v>4.4</v>
      </c>
      <c r="H23" s="31">
        <f>G23</f>
        <v>4.4</v>
      </c>
      <c r="I23" s="31">
        <v>0</v>
      </c>
      <c r="J23" s="31">
        <f>I23</f>
        <v>0</v>
      </c>
      <c r="K23" s="31">
        <v>5</v>
      </c>
      <c r="L23" s="31">
        <f t="shared" ref="L23:N23" si="4">K23*9</f>
        <v>45</v>
      </c>
      <c r="M23" s="31">
        <v>35</v>
      </c>
      <c r="N23" s="31">
        <f t="shared" si="4"/>
        <v>315</v>
      </c>
      <c r="Q23" s="31">
        <v>20</v>
      </c>
      <c r="R23" s="33">
        <v>0</v>
      </c>
    </row>
    <row r="24" s="31" customFormat="1" ht="25.05" customHeight="1" spans="1:18">
      <c r="A24" s="31" t="s">
        <v>36</v>
      </c>
      <c r="C24" s="34">
        <v>7</v>
      </c>
      <c r="D24" s="31">
        <f t="shared" ref="D24:D30" si="5">C24*9</f>
        <v>63</v>
      </c>
      <c r="E24" s="31">
        <v>3</v>
      </c>
      <c r="F24" s="31">
        <f t="shared" ref="F24:F30" si="6">E24*9</f>
        <v>27</v>
      </c>
      <c r="G24" s="31">
        <v>10</v>
      </c>
      <c r="H24" s="31">
        <f>G24</f>
        <v>10</v>
      </c>
      <c r="I24" s="31">
        <v>5</v>
      </c>
      <c r="J24" s="31">
        <f t="shared" ref="J24:J30" si="7">I24</f>
        <v>5</v>
      </c>
      <c r="K24" s="34">
        <v>8</v>
      </c>
      <c r="L24" s="31">
        <f t="shared" ref="L24:L30" si="8">K24*9</f>
        <v>72</v>
      </c>
      <c r="M24" s="31">
        <v>45</v>
      </c>
      <c r="N24" s="31">
        <f t="shared" ref="N24:N30" si="9">M24*9</f>
        <v>405</v>
      </c>
      <c r="Q24" s="31">
        <v>26</v>
      </c>
      <c r="R24" s="33">
        <v>0.1</v>
      </c>
    </row>
    <row r="25" s="37" customFormat="1" ht="25.05" customHeight="1" spans="1:18">
      <c r="A25" s="37" t="s">
        <v>37</v>
      </c>
      <c r="B25" s="37" t="s">
        <v>16</v>
      </c>
      <c r="C25" s="39">
        <v>8</v>
      </c>
      <c r="D25" s="31">
        <f t="shared" si="5"/>
        <v>72</v>
      </c>
      <c r="E25" s="39">
        <v>6</v>
      </c>
      <c r="F25" s="31">
        <f t="shared" si="6"/>
        <v>54</v>
      </c>
      <c r="G25" s="37">
        <v>15</v>
      </c>
      <c r="H25" s="31">
        <f t="shared" ref="H25:H30" si="10">G25</f>
        <v>15</v>
      </c>
      <c r="I25" s="37">
        <v>10</v>
      </c>
      <c r="J25" s="31">
        <f t="shared" si="7"/>
        <v>10</v>
      </c>
      <c r="K25" s="39">
        <v>8</v>
      </c>
      <c r="L25" s="31">
        <f t="shared" si="8"/>
        <v>72</v>
      </c>
      <c r="M25" s="37">
        <v>42</v>
      </c>
      <c r="N25" s="31">
        <f t="shared" si="9"/>
        <v>378</v>
      </c>
      <c r="O25" s="31"/>
      <c r="P25" s="31"/>
      <c r="Q25" s="37">
        <v>7</v>
      </c>
      <c r="R25" s="38">
        <v>0.1</v>
      </c>
    </row>
    <row r="26" s="37" customFormat="1" ht="25.05" customHeight="1" spans="1:18">
      <c r="A26" s="37" t="s">
        <v>38</v>
      </c>
      <c r="C26" s="39">
        <v>15</v>
      </c>
      <c r="D26" s="31">
        <f t="shared" si="5"/>
        <v>135</v>
      </c>
      <c r="E26" s="39">
        <v>12</v>
      </c>
      <c r="F26" s="31">
        <f t="shared" si="6"/>
        <v>108</v>
      </c>
      <c r="G26" s="37">
        <v>30</v>
      </c>
      <c r="H26" s="31">
        <f t="shared" si="10"/>
        <v>30</v>
      </c>
      <c r="I26" s="37">
        <v>20</v>
      </c>
      <c r="J26" s="31">
        <f t="shared" si="7"/>
        <v>20</v>
      </c>
      <c r="K26" s="39">
        <v>14</v>
      </c>
      <c r="L26" s="31">
        <f t="shared" si="8"/>
        <v>126</v>
      </c>
      <c r="M26" s="37">
        <v>50</v>
      </c>
      <c r="N26" s="31">
        <f t="shared" si="9"/>
        <v>450</v>
      </c>
      <c r="O26" s="31"/>
      <c r="P26" s="31"/>
      <c r="Q26" s="37">
        <v>10</v>
      </c>
      <c r="R26" s="38">
        <v>0.2</v>
      </c>
    </row>
    <row r="27" s="70" customFormat="1" ht="25.05" customHeight="1" spans="1:18">
      <c r="A27" s="70" t="s">
        <v>39</v>
      </c>
      <c r="B27" s="70" t="s">
        <v>18</v>
      </c>
      <c r="C27" s="73">
        <v>17</v>
      </c>
      <c r="D27" s="31">
        <f t="shared" si="5"/>
        <v>153</v>
      </c>
      <c r="E27" s="73">
        <v>21</v>
      </c>
      <c r="F27" s="31">
        <f t="shared" si="6"/>
        <v>189</v>
      </c>
      <c r="G27" s="70">
        <v>50</v>
      </c>
      <c r="H27" s="31">
        <f t="shared" si="10"/>
        <v>50</v>
      </c>
      <c r="I27" s="70">
        <v>75</v>
      </c>
      <c r="J27" s="31">
        <f t="shared" si="7"/>
        <v>75</v>
      </c>
      <c r="K27" s="73">
        <v>8</v>
      </c>
      <c r="L27" s="31">
        <f t="shared" si="8"/>
        <v>72</v>
      </c>
      <c r="M27" s="73">
        <v>48</v>
      </c>
      <c r="N27" s="31">
        <f t="shared" si="9"/>
        <v>432</v>
      </c>
      <c r="O27" s="31"/>
      <c r="P27" s="31"/>
      <c r="Q27" s="70">
        <v>4</v>
      </c>
      <c r="R27" s="79">
        <v>0.5</v>
      </c>
    </row>
    <row r="28" s="70" customFormat="1" ht="25.05" customHeight="1" spans="1:18">
      <c r="A28" s="70" t="s">
        <v>40</v>
      </c>
      <c r="C28" s="73">
        <v>22</v>
      </c>
      <c r="D28" s="31">
        <f t="shared" si="5"/>
        <v>198</v>
      </c>
      <c r="E28" s="73">
        <v>27</v>
      </c>
      <c r="F28" s="31">
        <f t="shared" si="6"/>
        <v>243</v>
      </c>
      <c r="G28" s="70">
        <v>75</v>
      </c>
      <c r="H28" s="31">
        <f t="shared" si="10"/>
        <v>75</v>
      </c>
      <c r="I28" s="70">
        <v>95</v>
      </c>
      <c r="J28" s="31">
        <f t="shared" si="7"/>
        <v>95</v>
      </c>
      <c r="K28" s="73">
        <v>12</v>
      </c>
      <c r="L28" s="31">
        <f t="shared" si="8"/>
        <v>108</v>
      </c>
      <c r="M28" s="73">
        <v>57</v>
      </c>
      <c r="N28" s="31">
        <f t="shared" si="9"/>
        <v>513</v>
      </c>
      <c r="O28" s="31"/>
      <c r="P28" s="31"/>
      <c r="Q28" s="70">
        <v>4</v>
      </c>
      <c r="R28" s="79">
        <v>0.5</v>
      </c>
    </row>
    <row r="29" s="71" customFormat="1" ht="25.05" customHeight="1" spans="1:18">
      <c r="A29" s="71" t="s">
        <v>41</v>
      </c>
      <c r="B29" s="71" t="s">
        <v>21</v>
      </c>
      <c r="C29" s="76">
        <v>20</v>
      </c>
      <c r="D29" s="31">
        <f t="shared" si="5"/>
        <v>180</v>
      </c>
      <c r="E29" s="76">
        <v>19</v>
      </c>
      <c r="F29" s="31">
        <f t="shared" si="6"/>
        <v>171</v>
      </c>
      <c r="G29" s="71">
        <v>75</v>
      </c>
      <c r="H29" s="31">
        <f t="shared" si="10"/>
        <v>75</v>
      </c>
      <c r="I29" s="71">
        <v>45</v>
      </c>
      <c r="J29" s="31">
        <f t="shared" si="7"/>
        <v>45</v>
      </c>
      <c r="K29" s="76">
        <v>30</v>
      </c>
      <c r="L29" s="31">
        <f t="shared" si="8"/>
        <v>270</v>
      </c>
      <c r="M29" s="76">
        <v>35</v>
      </c>
      <c r="N29" s="31">
        <f t="shared" si="9"/>
        <v>315</v>
      </c>
      <c r="O29" s="31"/>
      <c r="P29" s="31"/>
      <c r="Q29" s="71">
        <v>8</v>
      </c>
      <c r="R29" s="80">
        <v>0.3</v>
      </c>
    </row>
    <row r="30" s="71" customFormat="1" ht="25.05" customHeight="1" spans="1:18">
      <c r="A30" s="71" t="s">
        <v>42</v>
      </c>
      <c r="C30" s="76">
        <v>29</v>
      </c>
      <c r="D30" s="31">
        <f t="shared" si="5"/>
        <v>261</v>
      </c>
      <c r="E30" s="76">
        <v>25</v>
      </c>
      <c r="F30" s="31">
        <f t="shared" si="6"/>
        <v>225</v>
      </c>
      <c r="G30" s="71">
        <v>110</v>
      </c>
      <c r="H30" s="31">
        <f t="shared" si="10"/>
        <v>110</v>
      </c>
      <c r="I30" s="71">
        <v>65</v>
      </c>
      <c r="J30" s="31">
        <f t="shared" si="7"/>
        <v>65</v>
      </c>
      <c r="K30" s="76">
        <v>38</v>
      </c>
      <c r="L30" s="31">
        <f t="shared" si="8"/>
        <v>342</v>
      </c>
      <c r="M30" s="76">
        <f>K30*1.3</f>
        <v>49.4</v>
      </c>
      <c r="N30" s="31">
        <f t="shared" si="9"/>
        <v>444.6</v>
      </c>
      <c r="O30" s="31"/>
      <c r="P30" s="31"/>
      <c r="Q30" s="71">
        <v>8</v>
      </c>
      <c r="R30" s="80">
        <v>0.4</v>
      </c>
    </row>
    <row r="31" s="45" customFormat="1" ht="25.05" customHeight="1" spans="1:18">
      <c r="A31" s="45" t="s">
        <v>43</v>
      </c>
      <c r="B31" s="45" t="s">
        <v>44</v>
      </c>
      <c r="C31" s="47">
        <v>320</v>
      </c>
      <c r="D31" s="63"/>
      <c r="E31" s="47">
        <v>260</v>
      </c>
      <c r="F31" s="77"/>
      <c r="G31" s="45">
        <v>150</v>
      </c>
      <c r="H31" s="63"/>
      <c r="I31" s="45">
        <v>110</v>
      </c>
      <c r="J31" s="63"/>
      <c r="K31" s="47">
        <v>650</v>
      </c>
      <c r="L31" s="63"/>
      <c r="M31" s="47">
        <v>885</v>
      </c>
      <c r="N31" s="63"/>
      <c r="O31" s="63"/>
      <c r="P31" s="63"/>
      <c r="Q31" s="45">
        <v>6</v>
      </c>
      <c r="R31" s="82">
        <v>0.6</v>
      </c>
    </row>
    <row r="32" s="49" customFormat="1" ht="25.05" customHeight="1" spans="1:18">
      <c r="A32" s="49" t="s">
        <v>45</v>
      </c>
      <c r="B32" s="54" t="s">
        <v>46</v>
      </c>
      <c r="C32" s="52">
        <v>670</v>
      </c>
      <c r="D32" s="78"/>
      <c r="E32" s="52">
        <v>520</v>
      </c>
      <c r="F32" s="78"/>
      <c r="G32" s="49">
        <v>200</v>
      </c>
      <c r="H32" s="78"/>
      <c r="I32" s="49">
        <v>180</v>
      </c>
      <c r="J32" s="78"/>
      <c r="K32" s="52">
        <v>1200</v>
      </c>
      <c r="L32" s="78"/>
      <c r="M32" s="52">
        <f>M4*10</f>
        <v>960</v>
      </c>
      <c r="N32" s="78"/>
      <c r="O32" s="78"/>
      <c r="P32" s="78"/>
      <c r="Q32" s="49">
        <v>16</v>
      </c>
      <c r="R32" s="51">
        <v>0.7</v>
      </c>
    </row>
    <row r="33" ht="25.05" customHeight="1" spans="1:17">
      <c r="A33" s="24" t="s">
        <v>47</v>
      </c>
      <c r="C33" s="64">
        <f>C32*1.5</f>
        <v>1005</v>
      </c>
      <c r="E33" s="64">
        <f>E32*1.5</f>
        <v>780</v>
      </c>
      <c r="G33" s="24">
        <f>G32*1.5</f>
        <v>300</v>
      </c>
      <c r="I33" s="24">
        <f>I32*1.5</f>
        <v>270</v>
      </c>
      <c r="K33" s="64">
        <f>K32*1.3</f>
        <v>1560</v>
      </c>
      <c r="M33" s="64">
        <f>M32*1.5</f>
        <v>1440</v>
      </c>
      <c r="Q33" s="64">
        <f>Q32*1.3</f>
        <v>20.8</v>
      </c>
    </row>
    <row r="34" ht="25.05" customHeight="1" spans="1:17">
      <c r="A34" s="24" t="s">
        <v>48</v>
      </c>
      <c r="C34" s="64">
        <f>C33*1.5</f>
        <v>1507.5</v>
      </c>
      <c r="E34" s="64">
        <f>E33*1.5</f>
        <v>1170</v>
      </c>
      <c r="G34" s="24">
        <f t="shared" ref="G34:I34" si="11">(G33+G35)/2</f>
        <v>400</v>
      </c>
      <c r="I34" s="24">
        <f t="shared" si="11"/>
        <v>385</v>
      </c>
      <c r="K34" s="64">
        <f t="shared" ref="K34:Q34" si="12">(K33+K35)/2</f>
        <v>2380</v>
      </c>
      <c r="L34" s="65"/>
      <c r="M34" s="64">
        <f t="shared" si="12"/>
        <v>2220</v>
      </c>
      <c r="N34" s="65"/>
      <c r="O34" s="65"/>
      <c r="P34" s="65"/>
      <c r="Q34" s="64">
        <f t="shared" si="12"/>
        <v>22.4</v>
      </c>
    </row>
    <row r="35" ht="25.05" customHeight="1" spans="1:17">
      <c r="A35" s="24" t="s">
        <v>49</v>
      </c>
      <c r="C35" s="64">
        <f>C34*1.5</f>
        <v>2261.25</v>
      </c>
      <c r="E35" s="64">
        <f>E34*1.5</f>
        <v>1755</v>
      </c>
      <c r="G35" s="24">
        <v>500</v>
      </c>
      <c r="I35" s="24">
        <v>500</v>
      </c>
      <c r="K35" s="64">
        <v>3200</v>
      </c>
      <c r="M35" s="64">
        <v>3000</v>
      </c>
      <c r="Q35" s="64">
        <v>24</v>
      </c>
    </row>
    <row r="36" ht="25.05" customHeight="1" spans="1:17">
      <c r="A36" s="24" t="s">
        <v>50</v>
      </c>
      <c r="C36" s="64">
        <f t="shared" ref="C36:G36" si="13">C35*2</f>
        <v>4522.5</v>
      </c>
      <c r="E36" s="64">
        <f t="shared" si="13"/>
        <v>3510</v>
      </c>
      <c r="G36" s="64">
        <f t="shared" si="13"/>
        <v>1000</v>
      </c>
      <c r="I36" s="64">
        <f t="shared" ref="I36:M36" si="14">I35*2</f>
        <v>1000</v>
      </c>
      <c r="K36" s="64">
        <f t="shared" si="14"/>
        <v>6400</v>
      </c>
      <c r="M36" s="64">
        <f t="shared" si="14"/>
        <v>6000</v>
      </c>
      <c r="Q36" s="64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"/>
  <sheetViews>
    <sheetView topLeftCell="A7" workbookViewId="0">
      <selection activeCell="U14" sqref="U14"/>
    </sheetView>
  </sheetViews>
  <sheetFormatPr defaultColWidth="9" defaultRowHeight="13.8"/>
  <cols>
    <col min="1" max="1" width="8.88888888888889" style="62"/>
    <col min="2" max="3" width="8.88888888888889" style="24"/>
    <col min="4" max="4" width="3.77777777777778" style="24" customWidth="1"/>
    <col min="5" max="6" width="8.88888888888889" style="24"/>
    <col min="7" max="7" width="3.77777777777778" style="24" customWidth="1"/>
    <col min="8" max="9" width="8.88888888888889" style="24"/>
    <col min="10" max="10" width="3.77777777777778" style="24" customWidth="1"/>
    <col min="11" max="11" width="11" style="24" customWidth="1"/>
    <col min="12" max="12" width="8.88888888888889" style="24"/>
    <col min="13" max="13" width="3.77777777777778" style="24" customWidth="1"/>
    <col min="14" max="15" width="8.88888888888889" style="24"/>
    <col min="16" max="16" width="3.77777777777778" style="24" customWidth="1"/>
    <col min="17" max="18" width="8.88888888888889" style="24"/>
    <col min="19" max="21" width="9" style="24"/>
    <col min="22" max="23" width="8.88888888888889" style="24"/>
  </cols>
  <sheetData>
    <row r="1" spans="2:23">
      <c r="B1" s="24" t="s">
        <v>2</v>
      </c>
      <c r="C1" s="63" t="s">
        <v>3</v>
      </c>
      <c r="D1" s="63"/>
      <c r="E1" s="24" t="s">
        <v>4</v>
      </c>
      <c r="F1" s="63" t="s">
        <v>3</v>
      </c>
      <c r="G1" s="63"/>
      <c r="H1" s="24" t="s">
        <v>5</v>
      </c>
      <c r="I1" s="63" t="s">
        <v>3</v>
      </c>
      <c r="J1" s="63"/>
      <c r="K1" s="24" t="s">
        <v>6</v>
      </c>
      <c r="L1" s="63" t="s">
        <v>3</v>
      </c>
      <c r="M1" s="63"/>
      <c r="N1" s="24" t="s">
        <v>7</v>
      </c>
      <c r="O1" s="63" t="s">
        <v>3</v>
      </c>
      <c r="P1" s="63"/>
      <c r="Q1" s="24" t="s">
        <v>8</v>
      </c>
      <c r="R1" s="63" t="s">
        <v>3</v>
      </c>
      <c r="S1" s="63"/>
      <c r="T1" s="67" t="s">
        <v>9</v>
      </c>
      <c r="U1" s="63" t="s">
        <v>3</v>
      </c>
      <c r="V1" s="68" t="s">
        <v>10</v>
      </c>
      <c r="W1" s="24" t="s">
        <v>12</v>
      </c>
    </row>
    <row r="2" spans="1:20">
      <c r="A2" s="62" t="s">
        <v>51</v>
      </c>
      <c r="B2" s="64">
        <f>MAX(老女武神装备!C3:C20)</f>
        <v>175.5</v>
      </c>
      <c r="C2" s="65"/>
      <c r="D2" s="65"/>
      <c r="E2" s="64">
        <f>MAX(老女武神装备!E2:E19)</f>
        <v>136.448</v>
      </c>
      <c r="F2" s="65"/>
      <c r="G2" s="65"/>
      <c r="H2" s="64">
        <f>MAX(老女武神装备!G2:G19)</f>
        <v>168.75</v>
      </c>
      <c r="I2" s="65"/>
      <c r="J2" s="65"/>
      <c r="K2" s="64">
        <f>MAX(老女武神装备!I2:I19)</f>
        <v>165.3</v>
      </c>
      <c r="L2" s="65"/>
      <c r="M2" s="65"/>
      <c r="N2" s="64">
        <f>MAX(老女武神装备!K2:K19)</f>
        <v>166.94</v>
      </c>
      <c r="O2" s="65"/>
      <c r="P2" s="65"/>
      <c r="Q2" s="64">
        <f>MAX(老女武神装备!M2:M19)</f>
        <v>152.256</v>
      </c>
      <c r="T2" s="64">
        <f>MAX(老女武神装备!O2:O19)</f>
        <v>85</v>
      </c>
    </row>
    <row r="3" spans="1:20">
      <c r="A3" s="62" t="s">
        <v>52</v>
      </c>
      <c r="B3" s="64">
        <f>MIN(老女武神装备!C3:C20)</f>
        <v>22.75</v>
      </c>
      <c r="C3" s="65"/>
      <c r="D3" s="65"/>
      <c r="E3" s="64">
        <f>MIN(老女武神装备!E3:E20)</f>
        <v>17.6</v>
      </c>
      <c r="F3" s="65"/>
      <c r="G3" s="65"/>
      <c r="H3" s="64">
        <f>MIN(老女武神装备!G3:G20)</f>
        <v>10</v>
      </c>
      <c r="I3" s="65"/>
      <c r="J3" s="65"/>
      <c r="K3" s="64">
        <f>MIN(老女武神装备!I3:I20)</f>
        <v>15</v>
      </c>
      <c r="L3" s="65"/>
      <c r="M3" s="65"/>
      <c r="N3" s="64">
        <f>MIN(老女武神装备!K3:K20)</f>
        <v>22.4</v>
      </c>
      <c r="O3" s="65"/>
      <c r="P3" s="65"/>
      <c r="Q3" s="64">
        <f>MIN(老女武神装备!M3:M20)</f>
        <v>20.1</v>
      </c>
      <c r="T3" s="64">
        <f>MIN(老女武神装备!O3:O20)</f>
        <v>50</v>
      </c>
    </row>
    <row r="4" spans="2:17">
      <c r="B4" s="64"/>
      <c r="C4" s="65"/>
      <c r="D4" s="65"/>
      <c r="E4" s="64"/>
      <c r="F4" s="65"/>
      <c r="G4" s="65"/>
      <c r="H4" s="64"/>
      <c r="I4" s="65"/>
      <c r="J4" s="65"/>
      <c r="K4" s="64"/>
      <c r="L4" s="65"/>
      <c r="M4" s="65"/>
      <c r="N4" s="64"/>
      <c r="O4" s="65"/>
      <c r="P4" s="65"/>
      <c r="Q4" s="64"/>
    </row>
    <row r="5" spans="1:21">
      <c r="A5" s="62" t="s">
        <v>53</v>
      </c>
      <c r="B5" s="64" t="s">
        <v>54</v>
      </c>
      <c r="C5" s="64" t="s">
        <v>55</v>
      </c>
      <c r="D5" s="64"/>
      <c r="E5" s="64" t="s">
        <v>54</v>
      </c>
      <c r="F5" s="64" t="s">
        <v>55</v>
      </c>
      <c r="G5" s="64"/>
      <c r="H5" s="64" t="s">
        <v>54</v>
      </c>
      <c r="I5" s="64" t="s">
        <v>55</v>
      </c>
      <c r="J5" s="64"/>
      <c r="K5" s="64" t="s">
        <v>54</v>
      </c>
      <c r="L5" s="64" t="s">
        <v>55</v>
      </c>
      <c r="M5" s="64"/>
      <c r="N5" s="64" t="s">
        <v>54</v>
      </c>
      <c r="O5" s="64" t="s">
        <v>55</v>
      </c>
      <c r="P5" s="64"/>
      <c r="Q5" s="64" t="s">
        <v>54</v>
      </c>
      <c r="R5" s="64" t="s">
        <v>55</v>
      </c>
      <c r="S5" s="62" t="s">
        <v>53</v>
      </c>
      <c r="T5" s="64" t="s">
        <v>54</v>
      </c>
      <c r="U5" s="64" t="s">
        <v>55</v>
      </c>
    </row>
    <row r="6" spans="1:21">
      <c r="A6" s="62" t="s">
        <v>56</v>
      </c>
      <c r="B6" s="64">
        <f>B3</f>
        <v>22.75</v>
      </c>
      <c r="C6" s="64">
        <f>B6+$B$33</f>
        <v>28.86</v>
      </c>
      <c r="D6" s="64"/>
      <c r="E6" s="64">
        <f>E3</f>
        <v>17.6</v>
      </c>
      <c r="F6" s="64">
        <f>E6+$E$33</f>
        <v>22.35392</v>
      </c>
      <c r="G6" s="64"/>
      <c r="H6" s="64">
        <f>H3</f>
        <v>10</v>
      </c>
      <c r="I6" s="64">
        <f>H6+$H$33</f>
        <v>16.35</v>
      </c>
      <c r="J6" s="64"/>
      <c r="K6" s="64">
        <f>K3</f>
        <v>15</v>
      </c>
      <c r="L6" s="64">
        <f>K6+$K$33</f>
        <v>21.012</v>
      </c>
      <c r="M6" s="64"/>
      <c r="N6" s="64">
        <f>N3</f>
        <v>22.4</v>
      </c>
      <c r="O6" s="64">
        <f>N6+$N$33</f>
        <v>28.1816</v>
      </c>
      <c r="P6" s="64"/>
      <c r="Q6" s="64">
        <f>Q3</f>
        <v>20.1</v>
      </c>
      <c r="R6" s="64">
        <f>Q6+$Q$33</f>
        <v>25.38624</v>
      </c>
      <c r="S6" s="62" t="s">
        <v>57</v>
      </c>
      <c r="T6" s="64">
        <f>T3</f>
        <v>50</v>
      </c>
      <c r="U6" s="64">
        <f>T6+$T$33</f>
        <v>53.8888888888889</v>
      </c>
    </row>
    <row r="7" spans="1:21">
      <c r="A7" s="62" t="s">
        <v>57</v>
      </c>
      <c r="B7" s="64">
        <f>C6</f>
        <v>28.86</v>
      </c>
      <c r="C7" s="64">
        <f>B7+$B$33</f>
        <v>34.97</v>
      </c>
      <c r="D7" s="64"/>
      <c r="E7" s="64">
        <f>F6</f>
        <v>22.35392</v>
      </c>
      <c r="F7" s="64">
        <f>E7+$E$33</f>
        <v>27.10784</v>
      </c>
      <c r="G7" s="64"/>
      <c r="H7" s="64">
        <f>I6</f>
        <v>16.35</v>
      </c>
      <c r="I7" s="64">
        <f t="shared" ref="I7:I30" si="0">H7+$H$33</f>
        <v>22.7</v>
      </c>
      <c r="J7" s="64"/>
      <c r="K7" s="64">
        <f>L6</f>
        <v>21.012</v>
      </c>
      <c r="L7" s="64">
        <f t="shared" ref="L7:L30" si="1">K7+$K$33</f>
        <v>27.024</v>
      </c>
      <c r="M7" s="64"/>
      <c r="N7" s="64">
        <f>O6</f>
        <v>28.1816</v>
      </c>
      <c r="O7" s="64">
        <f t="shared" ref="O7:O30" si="2">N7+$N$33</f>
        <v>33.9632</v>
      </c>
      <c r="P7" s="64"/>
      <c r="Q7" s="64">
        <f>R6</f>
        <v>25.38624</v>
      </c>
      <c r="R7" s="64">
        <f t="shared" ref="R7:R30" si="3">Q7+$Q$33</f>
        <v>30.67248</v>
      </c>
      <c r="S7" s="69" t="s">
        <v>58</v>
      </c>
      <c r="T7" s="64">
        <f>U6</f>
        <v>53.8888888888889</v>
      </c>
      <c r="U7" s="64">
        <f t="shared" ref="U7:U14" si="4">T7+$T$33</f>
        <v>57.7777777777778</v>
      </c>
    </row>
    <row r="8" spans="1:21">
      <c r="A8" s="62" t="s">
        <v>58</v>
      </c>
      <c r="B8" s="64">
        <f t="shared" ref="B8:B30" si="5">C7</f>
        <v>34.97</v>
      </c>
      <c r="C8" s="64">
        <f t="shared" ref="C8:C30" si="6">B8+$B$33</f>
        <v>41.08</v>
      </c>
      <c r="D8" s="64"/>
      <c r="E8" s="64">
        <f t="shared" ref="E8:E30" si="7">F7</f>
        <v>27.10784</v>
      </c>
      <c r="F8" s="64">
        <f t="shared" ref="F8:F30" si="8">E8+$E$33</f>
        <v>31.86176</v>
      </c>
      <c r="G8" s="64"/>
      <c r="H8" s="64">
        <f t="shared" ref="H8:H30" si="9">I7</f>
        <v>22.7</v>
      </c>
      <c r="I8" s="64">
        <f t="shared" si="0"/>
        <v>29.05</v>
      </c>
      <c r="J8" s="64"/>
      <c r="K8" s="64">
        <f t="shared" ref="K8:K30" si="10">L7</f>
        <v>27.024</v>
      </c>
      <c r="L8" s="64">
        <f t="shared" si="1"/>
        <v>33.036</v>
      </c>
      <c r="M8" s="64"/>
      <c r="N8" s="64">
        <f t="shared" ref="N8:N30" si="11">O7</f>
        <v>33.9632</v>
      </c>
      <c r="O8" s="64">
        <f t="shared" si="2"/>
        <v>39.7448</v>
      </c>
      <c r="P8" s="64"/>
      <c r="Q8" s="64">
        <f t="shared" ref="Q8:Q30" si="12">R7</f>
        <v>30.67248</v>
      </c>
      <c r="R8" s="64">
        <f t="shared" si="3"/>
        <v>35.95872</v>
      </c>
      <c r="S8" s="62" t="s">
        <v>59</v>
      </c>
      <c r="T8" s="64">
        <f t="shared" ref="T8:T14" si="13">U7</f>
        <v>57.7777777777778</v>
      </c>
      <c r="U8" s="64">
        <f t="shared" si="4"/>
        <v>61.6666666666667</v>
      </c>
    </row>
    <row r="9" spans="1:21">
      <c r="A9" s="62" t="s">
        <v>59</v>
      </c>
      <c r="B9" s="64">
        <f t="shared" si="5"/>
        <v>41.08</v>
      </c>
      <c r="C9" s="64">
        <f t="shared" si="6"/>
        <v>47.19</v>
      </c>
      <c r="D9" s="64"/>
      <c r="E9" s="64">
        <f t="shared" si="7"/>
        <v>31.86176</v>
      </c>
      <c r="F9" s="64">
        <f t="shared" si="8"/>
        <v>36.61568</v>
      </c>
      <c r="G9" s="64"/>
      <c r="H9" s="64">
        <f t="shared" si="9"/>
        <v>29.05</v>
      </c>
      <c r="I9" s="64">
        <f t="shared" si="0"/>
        <v>35.4</v>
      </c>
      <c r="J9" s="64"/>
      <c r="K9" s="64">
        <f t="shared" si="10"/>
        <v>33.036</v>
      </c>
      <c r="L9" s="64">
        <f t="shared" si="1"/>
        <v>39.048</v>
      </c>
      <c r="M9" s="64"/>
      <c r="N9" s="64">
        <f t="shared" si="11"/>
        <v>39.7448</v>
      </c>
      <c r="O9" s="64">
        <f t="shared" si="2"/>
        <v>45.5264</v>
      </c>
      <c r="P9" s="64"/>
      <c r="Q9" s="64">
        <f t="shared" si="12"/>
        <v>35.95872</v>
      </c>
      <c r="R9" s="64">
        <f t="shared" si="3"/>
        <v>41.24496</v>
      </c>
      <c r="S9" s="62" t="s">
        <v>60</v>
      </c>
      <c r="T9" s="64">
        <f t="shared" si="13"/>
        <v>61.6666666666667</v>
      </c>
      <c r="U9" s="64">
        <f t="shared" si="4"/>
        <v>65.5555555555555</v>
      </c>
    </row>
    <row r="10" spans="1:21">
      <c r="A10" s="62" t="s">
        <v>61</v>
      </c>
      <c r="B10" s="64">
        <f t="shared" si="5"/>
        <v>47.19</v>
      </c>
      <c r="C10" s="64">
        <f t="shared" si="6"/>
        <v>53.3</v>
      </c>
      <c r="D10" s="64"/>
      <c r="E10" s="64">
        <f t="shared" si="7"/>
        <v>36.61568</v>
      </c>
      <c r="F10" s="64">
        <f t="shared" si="8"/>
        <v>41.3696</v>
      </c>
      <c r="G10" s="64"/>
      <c r="H10" s="64">
        <f t="shared" si="9"/>
        <v>35.4</v>
      </c>
      <c r="I10" s="64">
        <f t="shared" si="0"/>
        <v>41.75</v>
      </c>
      <c r="J10" s="64"/>
      <c r="K10" s="64">
        <f t="shared" si="10"/>
        <v>39.048</v>
      </c>
      <c r="L10" s="64">
        <f t="shared" si="1"/>
        <v>45.06</v>
      </c>
      <c r="M10" s="64"/>
      <c r="N10" s="64">
        <f t="shared" si="11"/>
        <v>45.5264</v>
      </c>
      <c r="O10" s="64">
        <f t="shared" si="2"/>
        <v>51.308</v>
      </c>
      <c r="P10" s="64"/>
      <c r="Q10" s="64">
        <f t="shared" si="12"/>
        <v>41.24496</v>
      </c>
      <c r="R10" s="64">
        <f t="shared" si="3"/>
        <v>46.5312</v>
      </c>
      <c r="S10" s="62" t="s">
        <v>62</v>
      </c>
      <c r="T10" s="64">
        <f t="shared" si="13"/>
        <v>65.5555555555555</v>
      </c>
      <c r="U10" s="64">
        <f t="shared" si="4"/>
        <v>69.4444444444444</v>
      </c>
    </row>
    <row r="11" spans="1:21">
      <c r="A11" s="62" t="s">
        <v>63</v>
      </c>
      <c r="B11" s="64">
        <f t="shared" si="5"/>
        <v>53.3</v>
      </c>
      <c r="C11" s="64">
        <f t="shared" si="6"/>
        <v>59.41</v>
      </c>
      <c r="D11" s="64"/>
      <c r="E11" s="64">
        <f t="shared" si="7"/>
        <v>41.3696</v>
      </c>
      <c r="F11" s="64">
        <f t="shared" si="8"/>
        <v>46.12352</v>
      </c>
      <c r="G11" s="64"/>
      <c r="H11" s="64">
        <f t="shared" si="9"/>
        <v>41.75</v>
      </c>
      <c r="I11" s="64">
        <f t="shared" si="0"/>
        <v>48.1</v>
      </c>
      <c r="J11" s="64"/>
      <c r="K11" s="64">
        <f t="shared" si="10"/>
        <v>45.06</v>
      </c>
      <c r="L11" s="64">
        <f t="shared" si="1"/>
        <v>51.072</v>
      </c>
      <c r="M11" s="64"/>
      <c r="N11" s="64">
        <f t="shared" si="11"/>
        <v>51.308</v>
      </c>
      <c r="O11" s="64">
        <f t="shared" si="2"/>
        <v>57.0896</v>
      </c>
      <c r="P11" s="64"/>
      <c r="Q11" s="64">
        <f t="shared" si="12"/>
        <v>46.5312</v>
      </c>
      <c r="R11" s="64">
        <f t="shared" si="3"/>
        <v>51.81744</v>
      </c>
      <c r="S11" s="62" t="s">
        <v>64</v>
      </c>
      <c r="T11" s="64">
        <f t="shared" si="13"/>
        <v>69.4444444444444</v>
      </c>
      <c r="U11" s="64">
        <f t="shared" si="4"/>
        <v>73.3333333333333</v>
      </c>
    </row>
    <row r="12" spans="1:21">
      <c r="A12" s="62" t="s">
        <v>60</v>
      </c>
      <c r="B12" s="64">
        <f t="shared" si="5"/>
        <v>59.41</v>
      </c>
      <c r="C12" s="64">
        <f t="shared" si="6"/>
        <v>65.52</v>
      </c>
      <c r="D12" s="64"/>
      <c r="E12" s="64">
        <f t="shared" si="7"/>
        <v>46.12352</v>
      </c>
      <c r="F12" s="64">
        <f t="shared" si="8"/>
        <v>50.87744</v>
      </c>
      <c r="G12" s="64"/>
      <c r="H12" s="64">
        <f t="shared" si="9"/>
        <v>48.1</v>
      </c>
      <c r="I12" s="64">
        <f t="shared" si="0"/>
        <v>54.45</v>
      </c>
      <c r="J12" s="64"/>
      <c r="K12" s="64">
        <f t="shared" si="10"/>
        <v>51.072</v>
      </c>
      <c r="L12" s="64">
        <f t="shared" si="1"/>
        <v>57.084</v>
      </c>
      <c r="M12" s="64"/>
      <c r="N12" s="64">
        <f t="shared" si="11"/>
        <v>57.0896</v>
      </c>
      <c r="O12" s="64">
        <f t="shared" si="2"/>
        <v>62.8712</v>
      </c>
      <c r="P12" s="64"/>
      <c r="Q12" s="64">
        <f t="shared" si="12"/>
        <v>51.81744</v>
      </c>
      <c r="R12" s="64">
        <f t="shared" si="3"/>
        <v>57.10368</v>
      </c>
      <c r="S12" s="62" t="s">
        <v>65</v>
      </c>
      <c r="T12" s="64">
        <f t="shared" si="13"/>
        <v>73.3333333333333</v>
      </c>
      <c r="U12" s="64">
        <f t="shared" si="4"/>
        <v>77.2222222222222</v>
      </c>
    </row>
    <row r="13" spans="1:21">
      <c r="A13" s="62" t="s">
        <v>62</v>
      </c>
      <c r="B13" s="64">
        <f t="shared" si="5"/>
        <v>65.52</v>
      </c>
      <c r="C13" s="64">
        <f t="shared" si="6"/>
        <v>71.63</v>
      </c>
      <c r="D13" s="64"/>
      <c r="E13" s="64">
        <f t="shared" si="7"/>
        <v>50.87744</v>
      </c>
      <c r="F13" s="64">
        <f t="shared" si="8"/>
        <v>55.63136</v>
      </c>
      <c r="G13" s="64"/>
      <c r="H13" s="64">
        <f t="shared" si="9"/>
        <v>54.45</v>
      </c>
      <c r="I13" s="64">
        <f t="shared" si="0"/>
        <v>60.8</v>
      </c>
      <c r="J13" s="64"/>
      <c r="K13" s="64">
        <f t="shared" si="10"/>
        <v>57.084</v>
      </c>
      <c r="L13" s="64">
        <f t="shared" si="1"/>
        <v>63.096</v>
      </c>
      <c r="M13" s="64"/>
      <c r="N13" s="64">
        <f t="shared" si="11"/>
        <v>62.8712</v>
      </c>
      <c r="O13" s="64">
        <f t="shared" si="2"/>
        <v>68.6528</v>
      </c>
      <c r="P13" s="64"/>
      <c r="Q13" s="64">
        <f t="shared" si="12"/>
        <v>57.10368</v>
      </c>
      <c r="R13" s="64">
        <f t="shared" si="3"/>
        <v>62.38992</v>
      </c>
      <c r="S13" s="62" t="s">
        <v>66</v>
      </c>
      <c r="T13" s="64">
        <f t="shared" si="13"/>
        <v>77.2222222222222</v>
      </c>
      <c r="U13" s="64">
        <f t="shared" si="4"/>
        <v>81.1111111111111</v>
      </c>
    </row>
    <row r="14" spans="1:21">
      <c r="A14" s="62" t="s">
        <v>64</v>
      </c>
      <c r="B14" s="64">
        <f t="shared" si="5"/>
        <v>71.63</v>
      </c>
      <c r="C14" s="64">
        <f t="shared" si="6"/>
        <v>77.74</v>
      </c>
      <c r="D14" s="64"/>
      <c r="E14" s="64">
        <f t="shared" si="7"/>
        <v>55.63136</v>
      </c>
      <c r="F14" s="64">
        <f t="shared" si="8"/>
        <v>60.38528</v>
      </c>
      <c r="G14" s="64"/>
      <c r="H14" s="64">
        <f t="shared" si="9"/>
        <v>60.8</v>
      </c>
      <c r="I14" s="64">
        <f t="shared" si="0"/>
        <v>67.15</v>
      </c>
      <c r="J14" s="64"/>
      <c r="K14" s="64">
        <f t="shared" si="10"/>
        <v>63.096</v>
      </c>
      <c r="L14" s="64">
        <f t="shared" si="1"/>
        <v>69.108</v>
      </c>
      <c r="M14" s="64"/>
      <c r="N14" s="64">
        <f t="shared" si="11"/>
        <v>68.6528</v>
      </c>
      <c r="O14" s="64">
        <f t="shared" si="2"/>
        <v>74.4344</v>
      </c>
      <c r="P14" s="64"/>
      <c r="Q14" s="64">
        <f t="shared" si="12"/>
        <v>62.38992</v>
      </c>
      <c r="R14" s="64">
        <f t="shared" si="3"/>
        <v>67.67616</v>
      </c>
      <c r="S14" s="62" t="s">
        <v>67</v>
      </c>
      <c r="T14" s="64">
        <f t="shared" si="13"/>
        <v>81.1111111111111</v>
      </c>
      <c r="U14" s="64">
        <f t="shared" si="4"/>
        <v>85</v>
      </c>
    </row>
    <row r="15" spans="1:21">
      <c r="A15" s="62" t="s">
        <v>68</v>
      </c>
      <c r="B15" s="64">
        <f t="shared" si="5"/>
        <v>77.74</v>
      </c>
      <c r="C15" s="64">
        <f t="shared" si="6"/>
        <v>83.85</v>
      </c>
      <c r="D15" s="64"/>
      <c r="E15" s="64">
        <f t="shared" si="7"/>
        <v>60.38528</v>
      </c>
      <c r="F15" s="64">
        <f t="shared" si="8"/>
        <v>65.1392</v>
      </c>
      <c r="G15" s="64"/>
      <c r="H15" s="64">
        <f t="shared" si="9"/>
        <v>67.15</v>
      </c>
      <c r="I15" s="64">
        <f t="shared" si="0"/>
        <v>73.5</v>
      </c>
      <c r="J15" s="64"/>
      <c r="K15" s="64">
        <f t="shared" si="10"/>
        <v>69.108</v>
      </c>
      <c r="L15" s="64">
        <f t="shared" si="1"/>
        <v>75.12</v>
      </c>
      <c r="M15" s="64"/>
      <c r="N15" s="64">
        <f t="shared" si="11"/>
        <v>74.4344</v>
      </c>
      <c r="O15" s="64">
        <f t="shared" si="2"/>
        <v>80.216</v>
      </c>
      <c r="P15" s="64"/>
      <c r="Q15" s="64">
        <f t="shared" si="12"/>
        <v>67.67616</v>
      </c>
      <c r="R15" s="64">
        <f t="shared" si="3"/>
        <v>72.9624</v>
      </c>
      <c r="S15" s="62"/>
      <c r="T15" s="64"/>
      <c r="U15" s="64"/>
    </row>
    <row r="16" spans="1:21">
      <c r="A16" s="62" t="s">
        <v>69</v>
      </c>
      <c r="B16" s="64">
        <f t="shared" si="5"/>
        <v>83.85</v>
      </c>
      <c r="C16" s="64">
        <f t="shared" si="6"/>
        <v>89.96</v>
      </c>
      <c r="D16" s="64"/>
      <c r="E16" s="64">
        <f t="shared" si="7"/>
        <v>65.1392</v>
      </c>
      <c r="F16" s="64">
        <f t="shared" si="8"/>
        <v>69.89312</v>
      </c>
      <c r="G16" s="64"/>
      <c r="H16" s="64">
        <f t="shared" si="9"/>
        <v>73.5</v>
      </c>
      <c r="I16" s="64">
        <f t="shared" si="0"/>
        <v>79.85</v>
      </c>
      <c r="J16" s="64"/>
      <c r="K16" s="64">
        <f t="shared" si="10"/>
        <v>75.12</v>
      </c>
      <c r="L16" s="64">
        <f t="shared" si="1"/>
        <v>81.132</v>
      </c>
      <c r="M16" s="64"/>
      <c r="N16" s="64">
        <f t="shared" si="11"/>
        <v>80.216</v>
      </c>
      <c r="O16" s="64">
        <f t="shared" si="2"/>
        <v>85.9976</v>
      </c>
      <c r="P16" s="64"/>
      <c r="Q16" s="64">
        <f t="shared" si="12"/>
        <v>72.9624</v>
      </c>
      <c r="R16" s="64">
        <f t="shared" si="3"/>
        <v>78.24864</v>
      </c>
      <c r="S16" s="62"/>
      <c r="T16" s="64"/>
      <c r="U16" s="64"/>
    </row>
    <row r="17" spans="1:21">
      <c r="A17" s="62" t="s">
        <v>65</v>
      </c>
      <c r="B17" s="64">
        <f t="shared" si="5"/>
        <v>89.96</v>
      </c>
      <c r="C17" s="64">
        <f t="shared" si="6"/>
        <v>96.07</v>
      </c>
      <c r="D17" s="64"/>
      <c r="E17" s="64">
        <f t="shared" si="7"/>
        <v>69.89312</v>
      </c>
      <c r="F17" s="64">
        <f t="shared" si="8"/>
        <v>74.64704</v>
      </c>
      <c r="G17" s="64"/>
      <c r="H17" s="64">
        <f t="shared" si="9"/>
        <v>79.85</v>
      </c>
      <c r="I17" s="64">
        <f t="shared" si="0"/>
        <v>86.2</v>
      </c>
      <c r="J17" s="64"/>
      <c r="K17" s="64">
        <f t="shared" si="10"/>
        <v>81.132</v>
      </c>
      <c r="L17" s="64">
        <f t="shared" si="1"/>
        <v>87.144</v>
      </c>
      <c r="M17" s="64"/>
      <c r="N17" s="64">
        <f t="shared" si="11"/>
        <v>85.9976</v>
      </c>
      <c r="O17" s="64">
        <f t="shared" si="2"/>
        <v>91.7792</v>
      </c>
      <c r="P17" s="64"/>
      <c r="Q17" s="64">
        <f t="shared" si="12"/>
        <v>78.24864</v>
      </c>
      <c r="R17" s="64">
        <f t="shared" si="3"/>
        <v>83.53488</v>
      </c>
      <c r="T17" s="64"/>
      <c r="U17" s="64"/>
    </row>
    <row r="18" spans="1:21">
      <c r="A18" s="62" t="s">
        <v>66</v>
      </c>
      <c r="B18" s="64">
        <f t="shared" si="5"/>
        <v>96.07</v>
      </c>
      <c r="C18" s="64">
        <f t="shared" si="6"/>
        <v>102.18</v>
      </c>
      <c r="D18" s="64"/>
      <c r="E18" s="64">
        <f t="shared" si="7"/>
        <v>74.64704</v>
      </c>
      <c r="F18" s="64">
        <f t="shared" si="8"/>
        <v>79.40096</v>
      </c>
      <c r="G18" s="64"/>
      <c r="H18" s="64">
        <f t="shared" si="9"/>
        <v>86.2</v>
      </c>
      <c r="I18" s="64">
        <f t="shared" si="0"/>
        <v>92.55</v>
      </c>
      <c r="J18" s="64"/>
      <c r="K18" s="64">
        <f t="shared" si="10"/>
        <v>87.144</v>
      </c>
      <c r="L18" s="64">
        <f t="shared" si="1"/>
        <v>93.156</v>
      </c>
      <c r="M18" s="64"/>
      <c r="N18" s="64">
        <f t="shared" si="11"/>
        <v>91.7792</v>
      </c>
      <c r="O18" s="64">
        <f t="shared" si="2"/>
        <v>97.5608</v>
      </c>
      <c r="P18" s="64"/>
      <c r="Q18" s="64">
        <f t="shared" si="12"/>
        <v>83.53488</v>
      </c>
      <c r="R18" s="64">
        <f t="shared" si="3"/>
        <v>88.82112</v>
      </c>
      <c r="T18" s="64"/>
      <c r="U18" s="64"/>
    </row>
    <row r="19" spans="1:21">
      <c r="A19" s="62" t="s">
        <v>67</v>
      </c>
      <c r="B19" s="64">
        <f t="shared" si="5"/>
        <v>102.18</v>
      </c>
      <c r="C19" s="64">
        <f t="shared" si="6"/>
        <v>108.29</v>
      </c>
      <c r="D19" s="64"/>
      <c r="E19" s="64">
        <f t="shared" si="7"/>
        <v>79.40096</v>
      </c>
      <c r="F19" s="64">
        <f t="shared" si="8"/>
        <v>84.15488</v>
      </c>
      <c r="G19" s="64"/>
      <c r="H19" s="64">
        <f t="shared" si="9"/>
        <v>92.55</v>
      </c>
      <c r="I19" s="64">
        <f t="shared" si="0"/>
        <v>98.9</v>
      </c>
      <c r="J19" s="64"/>
      <c r="K19" s="64">
        <f t="shared" si="10"/>
        <v>93.156</v>
      </c>
      <c r="L19" s="64">
        <f t="shared" si="1"/>
        <v>99.168</v>
      </c>
      <c r="M19" s="64"/>
      <c r="N19" s="64">
        <f t="shared" si="11"/>
        <v>97.5608</v>
      </c>
      <c r="O19" s="64">
        <f t="shared" si="2"/>
        <v>103.3424</v>
      </c>
      <c r="P19" s="64"/>
      <c r="Q19" s="64">
        <f t="shared" si="12"/>
        <v>88.82112</v>
      </c>
      <c r="R19" s="64">
        <f t="shared" si="3"/>
        <v>94.10736</v>
      </c>
      <c r="T19" s="64"/>
      <c r="U19" s="64"/>
    </row>
    <row r="20" spans="1:21">
      <c r="A20" s="62" t="s">
        <v>70</v>
      </c>
      <c r="B20" s="64">
        <f t="shared" si="5"/>
        <v>108.29</v>
      </c>
      <c r="C20" s="64">
        <f t="shared" si="6"/>
        <v>114.4</v>
      </c>
      <c r="D20" s="64"/>
      <c r="E20" s="64">
        <f t="shared" si="7"/>
        <v>84.15488</v>
      </c>
      <c r="F20" s="64">
        <f t="shared" si="8"/>
        <v>88.9088000000001</v>
      </c>
      <c r="G20" s="64"/>
      <c r="H20" s="64">
        <f t="shared" si="9"/>
        <v>98.9</v>
      </c>
      <c r="I20" s="64">
        <f t="shared" si="0"/>
        <v>105.25</v>
      </c>
      <c r="J20" s="64"/>
      <c r="K20" s="64">
        <f t="shared" si="10"/>
        <v>99.168</v>
      </c>
      <c r="L20" s="64">
        <f t="shared" si="1"/>
        <v>105.18</v>
      </c>
      <c r="M20" s="64"/>
      <c r="N20" s="64">
        <f t="shared" si="11"/>
        <v>103.3424</v>
      </c>
      <c r="O20" s="64">
        <f t="shared" si="2"/>
        <v>109.124</v>
      </c>
      <c r="P20" s="64"/>
      <c r="Q20" s="64">
        <f t="shared" si="12"/>
        <v>94.10736</v>
      </c>
      <c r="R20" s="64">
        <f t="shared" si="3"/>
        <v>99.3936</v>
      </c>
      <c r="S20" s="62"/>
      <c r="T20" s="64"/>
      <c r="U20" s="64"/>
    </row>
    <row r="21" spans="1:21">
      <c r="A21" s="62" t="s">
        <v>71</v>
      </c>
      <c r="B21" s="64">
        <f t="shared" si="5"/>
        <v>114.4</v>
      </c>
      <c r="C21" s="64">
        <f t="shared" si="6"/>
        <v>120.51</v>
      </c>
      <c r="D21" s="64"/>
      <c r="E21" s="64">
        <f t="shared" si="7"/>
        <v>88.9088000000001</v>
      </c>
      <c r="F21" s="64">
        <f t="shared" si="8"/>
        <v>93.6627200000001</v>
      </c>
      <c r="G21" s="64"/>
      <c r="H21" s="64">
        <f t="shared" si="9"/>
        <v>105.25</v>
      </c>
      <c r="I21" s="64">
        <f t="shared" si="0"/>
        <v>111.6</v>
      </c>
      <c r="J21" s="64"/>
      <c r="K21" s="64">
        <f t="shared" si="10"/>
        <v>105.18</v>
      </c>
      <c r="L21" s="64">
        <f t="shared" si="1"/>
        <v>111.192</v>
      </c>
      <c r="M21" s="64"/>
      <c r="N21" s="64">
        <f t="shared" si="11"/>
        <v>109.124</v>
      </c>
      <c r="O21" s="64">
        <f t="shared" si="2"/>
        <v>114.9056</v>
      </c>
      <c r="P21" s="64"/>
      <c r="Q21" s="64">
        <f t="shared" si="12"/>
        <v>99.3936</v>
      </c>
      <c r="R21" s="64">
        <f t="shared" si="3"/>
        <v>104.67984</v>
      </c>
      <c r="S21" s="62"/>
      <c r="T21" s="64"/>
      <c r="U21" s="64"/>
    </row>
    <row r="22" spans="1:21">
      <c r="A22" s="62" t="s">
        <v>72</v>
      </c>
      <c r="B22" s="64">
        <f t="shared" si="5"/>
        <v>120.51</v>
      </c>
      <c r="C22" s="64">
        <f t="shared" si="6"/>
        <v>126.62</v>
      </c>
      <c r="D22" s="64"/>
      <c r="E22" s="64">
        <f t="shared" si="7"/>
        <v>93.6627200000001</v>
      </c>
      <c r="F22" s="64">
        <f t="shared" si="8"/>
        <v>98.4166400000001</v>
      </c>
      <c r="G22" s="64"/>
      <c r="H22" s="64">
        <f t="shared" si="9"/>
        <v>111.6</v>
      </c>
      <c r="I22" s="64">
        <f t="shared" si="0"/>
        <v>117.95</v>
      </c>
      <c r="J22" s="64"/>
      <c r="K22" s="64">
        <f t="shared" si="10"/>
        <v>111.192</v>
      </c>
      <c r="L22" s="64">
        <f t="shared" si="1"/>
        <v>117.204</v>
      </c>
      <c r="M22" s="64"/>
      <c r="N22" s="64">
        <f t="shared" si="11"/>
        <v>114.9056</v>
      </c>
      <c r="O22" s="64">
        <f t="shared" si="2"/>
        <v>120.6872</v>
      </c>
      <c r="P22" s="64"/>
      <c r="Q22" s="64">
        <f t="shared" si="12"/>
        <v>104.67984</v>
      </c>
      <c r="R22" s="64">
        <f t="shared" si="3"/>
        <v>109.96608</v>
      </c>
      <c r="S22" s="62"/>
      <c r="T22" s="64"/>
      <c r="U22" s="64"/>
    </row>
    <row r="23" spans="1:21">
      <c r="A23" s="62" t="s">
        <v>73</v>
      </c>
      <c r="B23" s="64">
        <f t="shared" si="5"/>
        <v>126.62</v>
      </c>
      <c r="C23" s="64">
        <f t="shared" si="6"/>
        <v>132.73</v>
      </c>
      <c r="D23" s="64"/>
      <c r="E23" s="64">
        <f t="shared" si="7"/>
        <v>98.4166400000001</v>
      </c>
      <c r="F23" s="64">
        <f t="shared" si="8"/>
        <v>103.17056</v>
      </c>
      <c r="G23" s="64"/>
      <c r="H23" s="64">
        <f t="shared" si="9"/>
        <v>117.95</v>
      </c>
      <c r="I23" s="64">
        <f t="shared" si="0"/>
        <v>124.3</v>
      </c>
      <c r="J23" s="64"/>
      <c r="K23" s="64">
        <f t="shared" si="10"/>
        <v>117.204</v>
      </c>
      <c r="L23" s="64">
        <f t="shared" si="1"/>
        <v>123.216</v>
      </c>
      <c r="M23" s="64"/>
      <c r="N23" s="64">
        <f t="shared" si="11"/>
        <v>120.6872</v>
      </c>
      <c r="O23" s="64">
        <f t="shared" si="2"/>
        <v>126.4688</v>
      </c>
      <c r="P23" s="64"/>
      <c r="Q23" s="64">
        <f t="shared" si="12"/>
        <v>109.96608</v>
      </c>
      <c r="R23" s="64">
        <f t="shared" si="3"/>
        <v>115.25232</v>
      </c>
      <c r="S23" s="62"/>
      <c r="T23" s="64"/>
      <c r="U23" s="64"/>
    </row>
    <row r="24" spans="1:21">
      <c r="A24" s="62" t="s">
        <v>74</v>
      </c>
      <c r="B24" s="64">
        <f t="shared" si="5"/>
        <v>132.73</v>
      </c>
      <c r="C24" s="64">
        <f t="shared" si="6"/>
        <v>138.84</v>
      </c>
      <c r="D24" s="64"/>
      <c r="E24" s="64">
        <f t="shared" si="7"/>
        <v>103.17056</v>
      </c>
      <c r="F24" s="64">
        <f t="shared" si="8"/>
        <v>107.92448</v>
      </c>
      <c r="G24" s="64"/>
      <c r="H24" s="64">
        <f t="shared" si="9"/>
        <v>124.3</v>
      </c>
      <c r="I24" s="64">
        <f t="shared" si="0"/>
        <v>130.65</v>
      </c>
      <c r="J24" s="64"/>
      <c r="K24" s="64">
        <f t="shared" si="10"/>
        <v>123.216</v>
      </c>
      <c r="L24" s="64">
        <f t="shared" si="1"/>
        <v>129.228</v>
      </c>
      <c r="M24" s="64"/>
      <c r="N24" s="64">
        <f t="shared" si="11"/>
        <v>126.4688</v>
      </c>
      <c r="O24" s="64">
        <f t="shared" si="2"/>
        <v>132.2504</v>
      </c>
      <c r="P24" s="64"/>
      <c r="Q24" s="64">
        <f t="shared" si="12"/>
        <v>115.25232</v>
      </c>
      <c r="R24" s="64">
        <f t="shared" si="3"/>
        <v>120.53856</v>
      </c>
      <c r="S24" s="62"/>
      <c r="T24" s="64"/>
      <c r="U24" s="64"/>
    </row>
    <row r="25" spans="1:21">
      <c r="A25" s="62" t="s">
        <v>75</v>
      </c>
      <c r="B25" s="64">
        <f t="shared" si="5"/>
        <v>138.84</v>
      </c>
      <c r="C25" s="64">
        <f t="shared" si="6"/>
        <v>144.95</v>
      </c>
      <c r="D25" s="64"/>
      <c r="E25" s="64">
        <f t="shared" si="7"/>
        <v>107.92448</v>
      </c>
      <c r="F25" s="64">
        <f t="shared" si="8"/>
        <v>112.6784</v>
      </c>
      <c r="G25" s="64"/>
      <c r="H25" s="64">
        <f t="shared" si="9"/>
        <v>130.65</v>
      </c>
      <c r="I25" s="64">
        <f t="shared" si="0"/>
        <v>137</v>
      </c>
      <c r="J25" s="64"/>
      <c r="K25" s="64">
        <f t="shared" si="10"/>
        <v>129.228</v>
      </c>
      <c r="L25" s="64">
        <f t="shared" si="1"/>
        <v>135.24</v>
      </c>
      <c r="M25" s="64"/>
      <c r="N25" s="64">
        <f t="shared" si="11"/>
        <v>132.2504</v>
      </c>
      <c r="O25" s="64">
        <f t="shared" si="2"/>
        <v>138.032</v>
      </c>
      <c r="P25" s="64"/>
      <c r="Q25" s="64">
        <f t="shared" si="12"/>
        <v>120.53856</v>
      </c>
      <c r="R25" s="64">
        <f t="shared" si="3"/>
        <v>125.8248</v>
      </c>
      <c r="S25" s="62"/>
      <c r="T25" s="64"/>
      <c r="U25" s="64"/>
    </row>
    <row r="26" spans="1:21">
      <c r="A26" s="62" t="s">
        <v>76</v>
      </c>
      <c r="B26" s="64">
        <f t="shared" si="5"/>
        <v>144.95</v>
      </c>
      <c r="C26" s="64">
        <f t="shared" si="6"/>
        <v>151.06</v>
      </c>
      <c r="D26" s="64"/>
      <c r="E26" s="64">
        <f t="shared" si="7"/>
        <v>112.6784</v>
      </c>
      <c r="F26" s="64">
        <f t="shared" si="8"/>
        <v>117.43232</v>
      </c>
      <c r="G26" s="64"/>
      <c r="H26" s="64">
        <f t="shared" si="9"/>
        <v>137</v>
      </c>
      <c r="I26" s="64">
        <f t="shared" si="0"/>
        <v>143.35</v>
      </c>
      <c r="J26" s="64"/>
      <c r="K26" s="64">
        <f t="shared" si="10"/>
        <v>135.24</v>
      </c>
      <c r="L26" s="64">
        <f t="shared" si="1"/>
        <v>141.252</v>
      </c>
      <c r="M26" s="64"/>
      <c r="N26" s="64">
        <f t="shared" si="11"/>
        <v>138.032</v>
      </c>
      <c r="O26" s="64">
        <f t="shared" si="2"/>
        <v>143.8136</v>
      </c>
      <c r="P26" s="64"/>
      <c r="Q26" s="64">
        <f t="shared" si="12"/>
        <v>125.8248</v>
      </c>
      <c r="R26" s="64">
        <f t="shared" si="3"/>
        <v>131.11104</v>
      </c>
      <c r="S26" s="62"/>
      <c r="T26" s="64"/>
      <c r="U26" s="64"/>
    </row>
    <row r="27" spans="1:21">
      <c r="A27" s="62" t="s">
        <v>77</v>
      </c>
      <c r="B27" s="64">
        <f t="shared" si="5"/>
        <v>151.06</v>
      </c>
      <c r="C27" s="64">
        <f t="shared" si="6"/>
        <v>157.17</v>
      </c>
      <c r="D27" s="64"/>
      <c r="E27" s="64">
        <f t="shared" si="7"/>
        <v>117.43232</v>
      </c>
      <c r="F27" s="64">
        <f t="shared" si="8"/>
        <v>122.18624</v>
      </c>
      <c r="G27" s="64"/>
      <c r="H27" s="64">
        <f t="shared" si="9"/>
        <v>143.35</v>
      </c>
      <c r="I27" s="64">
        <f t="shared" si="0"/>
        <v>149.7</v>
      </c>
      <c r="J27" s="64"/>
      <c r="K27" s="64">
        <f t="shared" si="10"/>
        <v>141.252</v>
      </c>
      <c r="L27" s="64">
        <f t="shared" si="1"/>
        <v>147.264</v>
      </c>
      <c r="M27" s="64"/>
      <c r="N27" s="64">
        <f t="shared" si="11"/>
        <v>143.8136</v>
      </c>
      <c r="O27" s="64">
        <f t="shared" si="2"/>
        <v>149.5952</v>
      </c>
      <c r="P27" s="64"/>
      <c r="Q27" s="64">
        <f t="shared" si="12"/>
        <v>131.11104</v>
      </c>
      <c r="R27" s="64">
        <f t="shared" si="3"/>
        <v>136.39728</v>
      </c>
      <c r="S27" s="62"/>
      <c r="T27" s="64"/>
      <c r="U27" s="64"/>
    </row>
    <row r="28" spans="1:21">
      <c r="A28" s="62" t="s">
        <v>78</v>
      </c>
      <c r="B28" s="64">
        <f t="shared" si="5"/>
        <v>157.17</v>
      </c>
      <c r="C28" s="64">
        <f t="shared" si="6"/>
        <v>163.28</v>
      </c>
      <c r="D28" s="64"/>
      <c r="E28" s="64">
        <f t="shared" si="7"/>
        <v>122.18624</v>
      </c>
      <c r="F28" s="64">
        <f t="shared" si="8"/>
        <v>126.94016</v>
      </c>
      <c r="G28" s="64"/>
      <c r="H28" s="64">
        <f t="shared" si="9"/>
        <v>149.7</v>
      </c>
      <c r="I28" s="64">
        <f t="shared" si="0"/>
        <v>156.05</v>
      </c>
      <c r="J28" s="64"/>
      <c r="K28" s="64">
        <f t="shared" si="10"/>
        <v>147.264</v>
      </c>
      <c r="L28" s="64">
        <f t="shared" si="1"/>
        <v>153.276</v>
      </c>
      <c r="M28" s="64"/>
      <c r="N28" s="64">
        <f t="shared" si="11"/>
        <v>149.5952</v>
      </c>
      <c r="O28" s="64">
        <f t="shared" si="2"/>
        <v>155.3768</v>
      </c>
      <c r="P28" s="64"/>
      <c r="Q28" s="64">
        <f t="shared" si="12"/>
        <v>136.39728</v>
      </c>
      <c r="R28" s="64">
        <f t="shared" si="3"/>
        <v>141.68352</v>
      </c>
      <c r="S28" s="62"/>
      <c r="T28" s="64"/>
      <c r="U28" s="64"/>
    </row>
    <row r="29" spans="1:21">
      <c r="A29" s="62" t="s">
        <v>79</v>
      </c>
      <c r="B29" s="64">
        <f t="shared" si="5"/>
        <v>163.28</v>
      </c>
      <c r="C29" s="64">
        <f t="shared" si="6"/>
        <v>169.39</v>
      </c>
      <c r="D29" s="64"/>
      <c r="E29" s="64">
        <f t="shared" si="7"/>
        <v>126.94016</v>
      </c>
      <c r="F29" s="64">
        <f t="shared" si="8"/>
        <v>131.69408</v>
      </c>
      <c r="G29" s="64"/>
      <c r="H29" s="64">
        <f t="shared" si="9"/>
        <v>156.05</v>
      </c>
      <c r="I29" s="64">
        <f t="shared" si="0"/>
        <v>162.4</v>
      </c>
      <c r="J29" s="64"/>
      <c r="K29" s="64">
        <f t="shared" si="10"/>
        <v>153.276</v>
      </c>
      <c r="L29" s="64">
        <f t="shared" si="1"/>
        <v>159.288</v>
      </c>
      <c r="M29" s="64"/>
      <c r="N29" s="64">
        <f t="shared" si="11"/>
        <v>155.3768</v>
      </c>
      <c r="O29" s="64">
        <f t="shared" si="2"/>
        <v>161.1584</v>
      </c>
      <c r="P29" s="64"/>
      <c r="Q29" s="64">
        <f t="shared" si="12"/>
        <v>141.68352</v>
      </c>
      <c r="R29" s="64">
        <f t="shared" si="3"/>
        <v>146.96976</v>
      </c>
      <c r="S29" s="62"/>
      <c r="T29" s="64"/>
      <c r="U29" s="64"/>
    </row>
    <row r="30" spans="1:21">
      <c r="A30" s="62" t="s">
        <v>80</v>
      </c>
      <c r="B30" s="64">
        <f t="shared" si="5"/>
        <v>169.39</v>
      </c>
      <c r="C30" s="64">
        <f t="shared" si="6"/>
        <v>175.5</v>
      </c>
      <c r="D30" s="64"/>
      <c r="E30" s="64">
        <f t="shared" si="7"/>
        <v>131.69408</v>
      </c>
      <c r="F30" s="64">
        <f t="shared" si="8"/>
        <v>136.448</v>
      </c>
      <c r="G30" s="64"/>
      <c r="H30" s="64">
        <f t="shared" si="9"/>
        <v>162.4</v>
      </c>
      <c r="I30" s="64">
        <f t="shared" si="0"/>
        <v>168.75</v>
      </c>
      <c r="J30" s="64"/>
      <c r="K30" s="64">
        <f t="shared" si="10"/>
        <v>159.288</v>
      </c>
      <c r="L30" s="64">
        <f t="shared" si="1"/>
        <v>165.3</v>
      </c>
      <c r="M30" s="64"/>
      <c r="N30" s="64">
        <f t="shared" si="11"/>
        <v>161.1584</v>
      </c>
      <c r="O30" s="64">
        <f t="shared" si="2"/>
        <v>166.94</v>
      </c>
      <c r="P30" s="64"/>
      <c r="Q30" s="64">
        <f t="shared" si="12"/>
        <v>146.96976</v>
      </c>
      <c r="R30" s="64">
        <f t="shared" si="3"/>
        <v>152.256</v>
      </c>
      <c r="S30" s="62"/>
      <c r="T30" s="64"/>
      <c r="U30" s="64"/>
    </row>
    <row r="31" spans="2:21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2"/>
      <c r="T31" s="64"/>
      <c r="U31" s="64"/>
    </row>
    <row r="32" spans="1:19">
      <c r="A32" s="62" t="s">
        <v>81</v>
      </c>
      <c r="B32" s="24" t="s">
        <v>82</v>
      </c>
      <c r="S32" s="62" t="s">
        <v>81</v>
      </c>
    </row>
    <row r="33" spans="1:20">
      <c r="A33" s="62">
        <f>SUMPRODUCT(1/COUNTIF(A6:A30,A6:A30))</f>
        <v>25</v>
      </c>
      <c r="B33" s="66">
        <f>(B2-B3)/A33</f>
        <v>6.11</v>
      </c>
      <c r="C33" s="66"/>
      <c r="D33" s="66"/>
      <c r="E33" s="66">
        <f>(E2-E3)/A33</f>
        <v>4.75392</v>
      </c>
      <c r="F33" s="66"/>
      <c r="G33" s="66"/>
      <c r="H33" s="66">
        <f>(H2-H3)/A33</f>
        <v>6.35</v>
      </c>
      <c r="I33" s="66"/>
      <c r="J33" s="66"/>
      <c r="K33" s="66">
        <f>(K2-K3)/A33</f>
        <v>6.012</v>
      </c>
      <c r="L33" s="66"/>
      <c r="M33" s="66"/>
      <c r="N33" s="66">
        <f>(N2-N3)/A33</f>
        <v>5.7816</v>
      </c>
      <c r="O33" s="66"/>
      <c r="P33" s="66"/>
      <c r="Q33" s="66">
        <f>(Q2-Q3)/A33</f>
        <v>5.28624</v>
      </c>
      <c r="S33" s="62" cm="1">
        <f t="array" ref="S33">SUMPRODUCT(1/COUNTIF(S6:S14,S6:S14))</f>
        <v>9</v>
      </c>
      <c r="T33" s="66">
        <f>(T2-T3)/S33</f>
        <v>3.88888888888889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zoomScale="115" zoomScaleNormal="115" topLeftCell="A23" workbookViewId="0">
      <selection activeCell="M25" sqref="M25"/>
    </sheetView>
  </sheetViews>
  <sheetFormatPr defaultColWidth="8.88888888888889" defaultRowHeight="13.8"/>
  <cols>
    <col min="1" max="1" width="11.2037037037037" customWidth="1"/>
    <col min="2" max="2" width="5.78703703703704" customWidth="1"/>
    <col min="3" max="3" width="9.56481481481481" style="16" customWidth="1"/>
    <col min="4" max="4" width="10.4259259259259" customWidth="1"/>
    <col min="5" max="5" width="7.14814814814815" customWidth="1"/>
    <col min="7" max="9" width="11.7777777777778" customWidth="1"/>
    <col min="10" max="10" width="9.77777777777778" style="30" customWidth="1"/>
    <col min="11" max="12" width="8.88888888888889" style="27"/>
    <col min="13" max="15" width="12.7777777777778" customWidth="1"/>
    <col min="16" max="16" width="8.88888888888889" style="17"/>
  </cols>
  <sheetData>
    <row r="1" ht="29" customHeight="1" spans="1:16">
      <c r="A1" s="24" t="s">
        <v>0</v>
      </c>
      <c r="B1" s="24" t="s">
        <v>1</v>
      </c>
      <c r="C1" s="4" t="s">
        <v>10</v>
      </c>
      <c r="D1" s="4" t="s">
        <v>83</v>
      </c>
      <c r="E1" s="4" t="s">
        <v>7</v>
      </c>
      <c r="F1" s="4" t="s">
        <v>8</v>
      </c>
      <c r="G1" s="4" t="s">
        <v>2</v>
      </c>
      <c r="H1" s="4" t="s">
        <v>4</v>
      </c>
      <c r="I1" s="4" t="s">
        <v>5</v>
      </c>
      <c r="J1" s="4" t="s">
        <v>84</v>
      </c>
      <c r="K1" s="23" t="s">
        <v>12</v>
      </c>
      <c r="L1" s="23"/>
      <c r="M1" s="19" t="s">
        <v>85</v>
      </c>
      <c r="N1" s="19" t="s">
        <v>86</v>
      </c>
      <c r="O1" s="19" t="s">
        <v>87</v>
      </c>
      <c r="P1" s="23" t="s">
        <v>88</v>
      </c>
    </row>
    <row r="2" spans="1:16">
      <c r="A2" s="31" t="s">
        <v>89</v>
      </c>
      <c r="B2" s="31" t="s">
        <v>14</v>
      </c>
      <c r="C2" s="32">
        <v>0</v>
      </c>
      <c r="D2" s="33">
        <v>0</v>
      </c>
      <c r="E2" s="34">
        <v>4</v>
      </c>
      <c r="F2" s="34">
        <v>4</v>
      </c>
      <c r="G2" s="34">
        <v>25</v>
      </c>
      <c r="H2" s="34">
        <v>25</v>
      </c>
      <c r="I2" s="34">
        <v>20</v>
      </c>
      <c r="J2" s="33">
        <v>2</v>
      </c>
      <c r="K2" s="61"/>
      <c r="L2" s="61"/>
      <c r="M2" s="20">
        <v>0.1</v>
      </c>
      <c r="N2" s="20">
        <v>0.1</v>
      </c>
      <c r="O2" s="20">
        <v>0</v>
      </c>
      <c r="P2" s="17">
        <v>0</v>
      </c>
    </row>
    <row r="3" spans="1:16">
      <c r="A3" s="31" t="s">
        <v>90</v>
      </c>
      <c r="B3" s="31" t="s">
        <v>16</v>
      </c>
      <c r="C3" s="35">
        <v>-2</v>
      </c>
      <c r="D3" s="33">
        <v>-0.1</v>
      </c>
      <c r="E3" s="34">
        <v>8</v>
      </c>
      <c r="F3" s="34">
        <v>8</v>
      </c>
      <c r="G3" s="34">
        <v>30</v>
      </c>
      <c r="H3" s="34">
        <v>30</v>
      </c>
      <c r="I3" s="34">
        <v>45</v>
      </c>
      <c r="J3" s="33">
        <v>4</v>
      </c>
      <c r="K3" s="61"/>
      <c r="L3" s="61"/>
      <c r="M3" s="20">
        <v>0.4</v>
      </c>
      <c r="N3" s="20">
        <v>0.4</v>
      </c>
      <c r="O3" s="20">
        <v>0.2</v>
      </c>
      <c r="P3" s="17">
        <v>0.3</v>
      </c>
    </row>
    <row r="4" spans="1:16">
      <c r="A4" s="31" t="s">
        <v>91</v>
      </c>
      <c r="B4" s="31" t="s">
        <v>18</v>
      </c>
      <c r="C4" s="35">
        <v>-4</v>
      </c>
      <c r="D4" s="33">
        <v>-0.3</v>
      </c>
      <c r="E4" s="34">
        <v>15</v>
      </c>
      <c r="F4" s="34">
        <v>15</v>
      </c>
      <c r="G4" s="34">
        <v>35</v>
      </c>
      <c r="H4" s="34">
        <v>35</v>
      </c>
      <c r="I4" s="34">
        <v>80</v>
      </c>
      <c r="J4" s="33">
        <v>8</v>
      </c>
      <c r="K4" s="61"/>
      <c r="L4" s="61"/>
      <c r="M4" s="20">
        <v>0.8</v>
      </c>
      <c r="N4" s="20">
        <v>0.8</v>
      </c>
      <c r="O4" s="20">
        <v>0.3</v>
      </c>
      <c r="P4" s="17">
        <v>0.6</v>
      </c>
    </row>
    <row r="5" spans="1:16">
      <c r="A5" s="31" t="s">
        <v>92</v>
      </c>
      <c r="B5" s="36" t="s">
        <v>21</v>
      </c>
      <c r="C5" s="35">
        <v>-8</v>
      </c>
      <c r="D5" s="33">
        <v>-0.6</v>
      </c>
      <c r="E5" s="34">
        <v>25</v>
      </c>
      <c r="F5" s="34">
        <v>25</v>
      </c>
      <c r="G5" s="34">
        <v>40</v>
      </c>
      <c r="H5" s="34">
        <v>40</v>
      </c>
      <c r="I5" s="34">
        <v>120</v>
      </c>
      <c r="J5" s="33">
        <v>12</v>
      </c>
      <c r="K5" s="61"/>
      <c r="L5" s="61"/>
      <c r="M5" s="20">
        <v>1.5</v>
      </c>
      <c r="N5" s="20">
        <v>1.5</v>
      </c>
      <c r="O5" s="20">
        <v>0.4</v>
      </c>
      <c r="P5" s="17">
        <v>1.2</v>
      </c>
    </row>
    <row r="6" spans="1:15">
      <c r="A6" s="37" t="s">
        <v>93</v>
      </c>
      <c r="B6" s="37" t="s">
        <v>14</v>
      </c>
      <c r="C6" s="38">
        <f>C2</f>
        <v>0</v>
      </c>
      <c r="D6" s="38">
        <f>D2</f>
        <v>0</v>
      </c>
      <c r="E6" s="39">
        <f>E2*1.25</f>
        <v>5</v>
      </c>
      <c r="F6" s="39">
        <f>F2*0.8</f>
        <v>3.2</v>
      </c>
      <c r="G6" s="39">
        <f>G2*0.7</f>
        <v>17.5</v>
      </c>
      <c r="H6" s="39">
        <f>H2*1.25</f>
        <v>31.25</v>
      </c>
      <c r="I6" s="39">
        <f>I2*1.25</f>
        <v>25</v>
      </c>
      <c r="J6" s="38">
        <f>J2*0.5*0.9</f>
        <v>0.9</v>
      </c>
      <c r="K6" s="61"/>
      <c r="L6" s="61"/>
      <c r="M6" s="20"/>
      <c r="N6" s="20"/>
      <c r="O6" s="20"/>
    </row>
    <row r="7" spans="1:15">
      <c r="A7" s="37" t="s">
        <v>94</v>
      </c>
      <c r="B7" s="37" t="s">
        <v>16</v>
      </c>
      <c r="C7" s="38">
        <f>C3</f>
        <v>-2</v>
      </c>
      <c r="D7" s="38">
        <f>D3</f>
        <v>-0.1</v>
      </c>
      <c r="E7" s="39">
        <f>E3*1.25</f>
        <v>10</v>
      </c>
      <c r="F7" s="39">
        <f>F3*0.8</f>
        <v>6.4</v>
      </c>
      <c r="G7" s="39">
        <f>G3*0.7</f>
        <v>21</v>
      </c>
      <c r="H7" s="39">
        <f>H3*1.25</f>
        <v>37.5</v>
      </c>
      <c r="I7" s="39">
        <f>I3*1.25</f>
        <v>56.25</v>
      </c>
      <c r="J7" s="38">
        <f>K7*0.5*0.15</f>
        <v>0</v>
      </c>
      <c r="K7" s="61"/>
      <c r="L7" s="61"/>
      <c r="M7" s="20"/>
      <c r="N7" s="20"/>
      <c r="O7" s="20"/>
    </row>
    <row r="8" spans="1:15">
      <c r="A8" s="37" t="s">
        <v>95</v>
      </c>
      <c r="B8" s="37" t="s">
        <v>18</v>
      </c>
      <c r="C8" s="38">
        <f>C4</f>
        <v>-4</v>
      </c>
      <c r="D8" s="38">
        <f>D4</f>
        <v>-0.3</v>
      </c>
      <c r="E8" s="39">
        <f>E4*1.25</f>
        <v>18.75</v>
      </c>
      <c r="F8" s="39">
        <f>F4*0.8</f>
        <v>12</v>
      </c>
      <c r="G8" s="39">
        <f>G4*0.7</f>
        <v>24.5</v>
      </c>
      <c r="H8" s="39">
        <f>H4*1.25</f>
        <v>43.75</v>
      </c>
      <c r="I8" s="39">
        <f>I4*1.25</f>
        <v>100</v>
      </c>
      <c r="J8" s="38">
        <f>K8*0.5*0.15</f>
        <v>0</v>
      </c>
      <c r="K8" s="61"/>
      <c r="L8" s="61"/>
      <c r="M8" s="20"/>
      <c r="N8" s="20"/>
      <c r="O8" s="20"/>
    </row>
    <row r="9" spans="1:15">
      <c r="A9" s="37" t="s">
        <v>96</v>
      </c>
      <c r="B9" s="37" t="s">
        <v>21</v>
      </c>
      <c r="C9" s="38">
        <f>C5</f>
        <v>-8</v>
      </c>
      <c r="D9" s="38">
        <f>D5</f>
        <v>-0.6</v>
      </c>
      <c r="E9" s="39">
        <f>E5*1.25</f>
        <v>31.25</v>
      </c>
      <c r="F9" s="39">
        <f>F5*0.8</f>
        <v>20</v>
      </c>
      <c r="G9" s="39">
        <f>G5*0.7</f>
        <v>28</v>
      </c>
      <c r="H9" s="39">
        <f>H5*1.25</f>
        <v>50</v>
      </c>
      <c r="I9" s="39">
        <f>I5*1.25</f>
        <v>150</v>
      </c>
      <c r="J9" s="38">
        <f>K9*0.5*0.15</f>
        <v>0</v>
      </c>
      <c r="K9" s="61"/>
      <c r="L9" s="61"/>
      <c r="M9" s="20"/>
      <c r="N9" s="20"/>
      <c r="O9" s="20"/>
    </row>
    <row r="10" spans="1:15">
      <c r="A10" s="40" t="s">
        <v>97</v>
      </c>
      <c r="B10" s="40" t="s">
        <v>14</v>
      </c>
      <c r="C10" s="41">
        <f>C2-1</f>
        <v>-1</v>
      </c>
      <c r="D10" s="41">
        <f>D2</f>
        <v>0</v>
      </c>
      <c r="E10" s="42">
        <f>E2*0.85</f>
        <v>3.4</v>
      </c>
      <c r="F10" s="42">
        <f>F2*1.2</f>
        <v>4.8</v>
      </c>
      <c r="G10" s="42">
        <f>G2*1.55</f>
        <v>38.75</v>
      </c>
      <c r="H10" s="42">
        <f>H2*0.68</f>
        <v>17</v>
      </c>
      <c r="I10" s="42">
        <f>I2*0.8</f>
        <v>16</v>
      </c>
      <c r="J10" s="40">
        <f>J2*1.6</f>
        <v>3.2</v>
      </c>
      <c r="K10" s="61"/>
      <c r="L10" s="61"/>
      <c r="M10" s="20"/>
      <c r="N10" s="20"/>
      <c r="O10" s="20"/>
    </row>
    <row r="11" spans="1:15">
      <c r="A11" s="40" t="s">
        <v>98</v>
      </c>
      <c r="B11" s="40" t="s">
        <v>16</v>
      </c>
      <c r="C11" s="41">
        <f>C3-1</f>
        <v>-3</v>
      </c>
      <c r="D11" s="41">
        <f>D3</f>
        <v>-0.1</v>
      </c>
      <c r="E11" s="43">
        <f>E3*0.85</f>
        <v>6.8</v>
      </c>
      <c r="F11" s="42">
        <f>F3*1.2</f>
        <v>9.6</v>
      </c>
      <c r="G11" s="42">
        <f>G3*1.55</f>
        <v>46.5</v>
      </c>
      <c r="H11" s="42">
        <f>H3*0.68</f>
        <v>20.4</v>
      </c>
      <c r="I11" s="42">
        <f>I3*0.8</f>
        <v>36</v>
      </c>
      <c r="J11" s="40">
        <f>J3*1.6</f>
        <v>6.4</v>
      </c>
      <c r="K11" s="61"/>
      <c r="L11" s="61"/>
      <c r="M11" s="20"/>
      <c r="N11" s="20"/>
      <c r="O11" s="20"/>
    </row>
    <row r="12" spans="1:15">
      <c r="A12" s="40" t="s">
        <v>99</v>
      </c>
      <c r="B12" s="40" t="s">
        <v>18</v>
      </c>
      <c r="C12" s="41">
        <f>C4-1</f>
        <v>-5</v>
      </c>
      <c r="D12" s="41">
        <f>D4</f>
        <v>-0.3</v>
      </c>
      <c r="E12" s="43">
        <f>E4*0.85</f>
        <v>12.75</v>
      </c>
      <c r="F12" s="42">
        <f>F4*1.2</f>
        <v>18</v>
      </c>
      <c r="G12" s="42">
        <f>G4*1.55</f>
        <v>54.25</v>
      </c>
      <c r="H12" s="42">
        <f>H4*0.68</f>
        <v>23.8</v>
      </c>
      <c r="I12" s="42">
        <f>I4*0.8</f>
        <v>64</v>
      </c>
      <c r="J12" s="40">
        <f>J4*1.6</f>
        <v>12.8</v>
      </c>
      <c r="K12" s="61"/>
      <c r="L12" s="61"/>
      <c r="M12" s="20"/>
      <c r="N12" s="20"/>
      <c r="O12" s="20"/>
    </row>
    <row r="13" spans="1:15">
      <c r="A13" s="40" t="s">
        <v>100</v>
      </c>
      <c r="B13" s="44" t="s">
        <v>21</v>
      </c>
      <c r="C13" s="41">
        <f>C5-1</f>
        <v>-9</v>
      </c>
      <c r="D13" s="41">
        <f>D5</f>
        <v>-0.6</v>
      </c>
      <c r="E13" s="43">
        <f>E5*0.85</f>
        <v>21.25</v>
      </c>
      <c r="F13" s="42">
        <f>F5*1.2</f>
        <v>30</v>
      </c>
      <c r="G13" s="42">
        <f>G5*1.55</f>
        <v>62</v>
      </c>
      <c r="H13" s="42">
        <f>H5*0.68</f>
        <v>27.2</v>
      </c>
      <c r="I13" s="42">
        <f>I5*0.8</f>
        <v>96</v>
      </c>
      <c r="J13" s="40">
        <f>J5*1.6</f>
        <v>19.2</v>
      </c>
      <c r="K13" s="61"/>
      <c r="L13" s="61"/>
      <c r="M13" s="20"/>
      <c r="N13" s="20"/>
      <c r="O13" s="20"/>
    </row>
    <row r="14" spans="1:15">
      <c r="A14" s="45" t="s">
        <v>101</v>
      </c>
      <c r="B14" s="45" t="s">
        <v>14</v>
      </c>
      <c r="C14" s="46">
        <f>C2-0.5</f>
        <v>-0.5</v>
      </c>
      <c r="D14" s="46">
        <f>D2-0.05</f>
        <v>-0.05</v>
      </c>
      <c r="E14" s="47">
        <f>E2*1</f>
        <v>4</v>
      </c>
      <c r="F14" s="47">
        <f>F2*0.75</f>
        <v>3</v>
      </c>
      <c r="G14" s="47">
        <f>G2*0.8</f>
        <v>20</v>
      </c>
      <c r="H14" s="47">
        <f>H2*1.3</f>
        <v>32.5</v>
      </c>
      <c r="I14" s="47">
        <f>I2*1.15</f>
        <v>23</v>
      </c>
      <c r="J14" s="45">
        <f>J2*0.5*1.1</f>
        <v>1.1</v>
      </c>
      <c r="K14" s="61"/>
      <c r="L14" s="61"/>
      <c r="M14" s="20"/>
      <c r="N14" s="20"/>
      <c r="O14" s="20"/>
    </row>
    <row r="15" spans="1:15">
      <c r="A15" s="45" t="s">
        <v>102</v>
      </c>
      <c r="B15" s="45" t="s">
        <v>16</v>
      </c>
      <c r="C15" s="46">
        <f>C3-0.5</f>
        <v>-2.5</v>
      </c>
      <c r="D15" s="46">
        <f>D3-0.05</f>
        <v>-0.15</v>
      </c>
      <c r="E15" s="47">
        <f>E3*1</f>
        <v>8</v>
      </c>
      <c r="F15" s="47">
        <f>F3*0.75</f>
        <v>6</v>
      </c>
      <c r="G15" s="47">
        <f>G3*0.8</f>
        <v>24</v>
      </c>
      <c r="H15" s="47">
        <f>H3*1.3</f>
        <v>39</v>
      </c>
      <c r="I15" s="47">
        <f>I3*1.15</f>
        <v>51.75</v>
      </c>
      <c r="J15" s="45">
        <f>J3*0.5*1.1</f>
        <v>2.2</v>
      </c>
      <c r="K15" s="61"/>
      <c r="L15" s="61"/>
      <c r="M15" s="20"/>
      <c r="N15" s="20"/>
      <c r="O15" s="20"/>
    </row>
    <row r="16" spans="1:15">
      <c r="A16" s="45" t="s">
        <v>103</v>
      </c>
      <c r="B16" s="45" t="s">
        <v>18</v>
      </c>
      <c r="C16" s="46">
        <f>C4-0.5</f>
        <v>-4.5</v>
      </c>
      <c r="D16" s="46">
        <f>D4-0.05</f>
        <v>-0.35</v>
      </c>
      <c r="E16" s="47">
        <f>E4*1</f>
        <v>15</v>
      </c>
      <c r="F16" s="47">
        <f>F4*0.75</f>
        <v>11.25</v>
      </c>
      <c r="G16" s="47">
        <f>G4*0.8</f>
        <v>28</v>
      </c>
      <c r="H16" s="47">
        <f>H4*1.3</f>
        <v>45.5</v>
      </c>
      <c r="I16" s="47">
        <f>I4*1.15</f>
        <v>92</v>
      </c>
      <c r="J16" s="45">
        <f>J4*0.5*1.1</f>
        <v>4.4</v>
      </c>
      <c r="K16" s="61"/>
      <c r="L16" s="61"/>
      <c r="M16" s="20"/>
      <c r="N16" s="20"/>
      <c r="O16" s="20"/>
    </row>
    <row r="17" spans="1:15">
      <c r="A17" s="45" t="s">
        <v>104</v>
      </c>
      <c r="B17" s="48" t="s">
        <v>21</v>
      </c>
      <c r="C17" s="46">
        <f>C5-0.5</f>
        <v>-8.5</v>
      </c>
      <c r="D17" s="46">
        <f>D5-0.05</f>
        <v>-0.65</v>
      </c>
      <c r="E17" s="47">
        <f>E5*1</f>
        <v>25</v>
      </c>
      <c r="F17" s="47">
        <f>F5*0.75</f>
        <v>18.75</v>
      </c>
      <c r="G17" s="47">
        <f>G5*0.8</f>
        <v>32</v>
      </c>
      <c r="H17" s="47">
        <f>H5*1.3</f>
        <v>52</v>
      </c>
      <c r="I17" s="47">
        <f>I5*1.15</f>
        <v>138</v>
      </c>
      <c r="J17" s="45">
        <f>J5*0.5*1.1</f>
        <v>6.6</v>
      </c>
      <c r="K17" s="61"/>
      <c r="L17" s="61"/>
      <c r="M17" s="20"/>
      <c r="N17" s="20"/>
      <c r="O17" s="20"/>
    </row>
    <row r="18" spans="1:15">
      <c r="A18" s="49" t="s">
        <v>105</v>
      </c>
      <c r="B18" s="49" t="s">
        <v>14</v>
      </c>
      <c r="C18" s="50">
        <f>C2</f>
        <v>0</v>
      </c>
      <c r="D18" s="51">
        <f>D2/1.2</f>
        <v>0</v>
      </c>
      <c r="E18" s="52">
        <f>E2*1.14</f>
        <v>4.56</v>
      </c>
      <c r="F18" s="52">
        <f>F2*0.9</f>
        <v>3.6</v>
      </c>
      <c r="G18" s="52">
        <f>G2*1.1</f>
        <v>27.5</v>
      </c>
      <c r="H18" s="52">
        <f>H2*0.98</f>
        <v>24.5</v>
      </c>
      <c r="I18" s="52">
        <f>I2*1.05</f>
        <v>21</v>
      </c>
      <c r="J18" s="49">
        <f>J2*0.5*0.6</f>
        <v>0.6</v>
      </c>
      <c r="K18" s="61"/>
      <c r="L18" s="61"/>
      <c r="M18" s="20"/>
      <c r="N18" s="20"/>
      <c r="O18" s="20"/>
    </row>
    <row r="19" spans="1:15">
      <c r="A19" s="49" t="s">
        <v>106</v>
      </c>
      <c r="B19" s="49" t="s">
        <v>16</v>
      </c>
      <c r="C19" s="53">
        <f>C3+0.5</f>
        <v>-1.5</v>
      </c>
      <c r="D19" s="51">
        <f>D3/1.2</f>
        <v>-0.0833333333333333</v>
      </c>
      <c r="E19" s="52">
        <f>E3*1.14</f>
        <v>9.12</v>
      </c>
      <c r="F19" s="52">
        <f>F3*0.9</f>
        <v>7.2</v>
      </c>
      <c r="G19" s="52">
        <f>G3*1.1</f>
        <v>33</v>
      </c>
      <c r="H19" s="52">
        <f>H3*0.98</f>
        <v>29.4</v>
      </c>
      <c r="I19" s="52">
        <f>I3*1.05</f>
        <v>47.25</v>
      </c>
      <c r="J19" s="49">
        <f>J3*0.5*0.6</f>
        <v>1.2</v>
      </c>
      <c r="K19" s="61"/>
      <c r="L19" s="61"/>
      <c r="M19" s="20"/>
      <c r="N19" s="20"/>
      <c r="O19" s="20"/>
    </row>
    <row r="20" spans="1:15">
      <c r="A20" s="49" t="s">
        <v>107</v>
      </c>
      <c r="B20" s="49" t="s">
        <v>18</v>
      </c>
      <c r="C20" s="53">
        <f>C4+0.5</f>
        <v>-3.5</v>
      </c>
      <c r="D20" s="51">
        <f>D4/1.2</f>
        <v>-0.25</v>
      </c>
      <c r="E20" s="52">
        <f>E4*1.14</f>
        <v>17.1</v>
      </c>
      <c r="F20" s="52">
        <f>F4*0.9</f>
        <v>13.5</v>
      </c>
      <c r="G20" s="52">
        <f>G4*1.1</f>
        <v>38.5</v>
      </c>
      <c r="H20" s="52">
        <f>H4*0.98</f>
        <v>34.3</v>
      </c>
      <c r="I20" s="52">
        <f>I4*1.05</f>
        <v>84</v>
      </c>
      <c r="J20" s="49">
        <f>J4*0.5*0.6</f>
        <v>2.4</v>
      </c>
      <c r="K20" s="61"/>
      <c r="L20" s="61"/>
      <c r="M20" s="20"/>
      <c r="N20" s="20"/>
      <c r="O20" s="20"/>
    </row>
    <row r="21" spans="1:15">
      <c r="A21" s="49" t="s">
        <v>108</v>
      </c>
      <c r="B21" s="54" t="s">
        <v>21</v>
      </c>
      <c r="C21" s="53">
        <f>C5+0.5</f>
        <v>-7.5</v>
      </c>
      <c r="D21" s="51">
        <f>D5/1.2</f>
        <v>-0.5</v>
      </c>
      <c r="E21" s="52">
        <f>E5*1.14</f>
        <v>28.5</v>
      </c>
      <c r="F21" s="52">
        <f>F5*0.9</f>
        <v>22.5</v>
      </c>
      <c r="G21" s="52">
        <f>G5*1.1</f>
        <v>44</v>
      </c>
      <c r="H21" s="52">
        <f>H5*0.98</f>
        <v>39.2</v>
      </c>
      <c r="I21" s="52">
        <f>I5*1.05</f>
        <v>126</v>
      </c>
      <c r="J21" s="49">
        <f>J5*0.5*0.6</f>
        <v>3.6</v>
      </c>
      <c r="K21" s="61"/>
      <c r="L21" s="61"/>
      <c r="M21" s="20"/>
      <c r="N21" s="20"/>
      <c r="O21" s="20"/>
    </row>
    <row r="22" spans="1:15">
      <c r="A22" s="55" t="s">
        <v>109</v>
      </c>
      <c r="B22" s="56" t="s">
        <v>14</v>
      </c>
      <c r="C22" s="57">
        <f>C2-0.5</f>
        <v>-0.5</v>
      </c>
      <c r="D22" s="58">
        <f>D2</f>
        <v>0</v>
      </c>
      <c r="E22" s="59">
        <f>E2*0.95</f>
        <v>3.8</v>
      </c>
      <c r="F22" s="59">
        <f>F2*1.5</f>
        <v>6</v>
      </c>
      <c r="G22" s="59">
        <f>G2*1.1</f>
        <v>27.5</v>
      </c>
      <c r="H22" s="59">
        <f>H2*1.05</f>
        <v>26.25</v>
      </c>
      <c r="I22" s="59">
        <f>I2*0.87</f>
        <v>17.4</v>
      </c>
      <c r="J22" s="55">
        <f>J2*0.5*1.5</f>
        <v>1.5</v>
      </c>
      <c r="K22" s="61"/>
      <c r="L22" s="61"/>
      <c r="M22" s="20"/>
      <c r="N22" s="20"/>
      <c r="O22" s="20"/>
    </row>
    <row r="23" spans="1:15">
      <c r="A23" s="55" t="s">
        <v>110</v>
      </c>
      <c r="B23" s="56" t="s">
        <v>16</v>
      </c>
      <c r="C23" s="57">
        <f>C3-0.5</f>
        <v>-2.5</v>
      </c>
      <c r="D23" s="58">
        <f>D3</f>
        <v>-0.1</v>
      </c>
      <c r="E23" s="59">
        <f>E3*0.95</f>
        <v>7.6</v>
      </c>
      <c r="F23" s="59">
        <f>F3*1.5</f>
        <v>12</v>
      </c>
      <c r="G23" s="59">
        <f>G3*1.1</f>
        <v>33</v>
      </c>
      <c r="H23" s="59">
        <f>H3*1.05</f>
        <v>31.5</v>
      </c>
      <c r="I23" s="59">
        <f>I3*0.87</f>
        <v>39.15</v>
      </c>
      <c r="J23" s="55">
        <f>J3*0.5*1.5</f>
        <v>3</v>
      </c>
      <c r="K23" s="61"/>
      <c r="L23" s="61"/>
      <c r="M23" s="20"/>
      <c r="N23" s="20"/>
      <c r="O23" s="20"/>
    </row>
    <row r="24" spans="1:15">
      <c r="A24" s="55" t="s">
        <v>111</v>
      </c>
      <c r="B24" s="56" t="s">
        <v>18</v>
      </c>
      <c r="C24" s="57">
        <f>C4-0.5</f>
        <v>-4.5</v>
      </c>
      <c r="D24" s="58">
        <f>D4</f>
        <v>-0.3</v>
      </c>
      <c r="E24" s="59">
        <f>E4*0.95</f>
        <v>14.25</v>
      </c>
      <c r="F24" s="59">
        <f>F4*1.5</f>
        <v>22.5</v>
      </c>
      <c r="G24" s="59">
        <f>G4*1.1</f>
        <v>38.5</v>
      </c>
      <c r="H24" s="59">
        <f>H4*1.05</f>
        <v>36.75</v>
      </c>
      <c r="I24" s="59">
        <f>I4*0.87</f>
        <v>69.6</v>
      </c>
      <c r="J24" s="55">
        <f>J4*0.5*1.5</f>
        <v>6</v>
      </c>
      <c r="K24" s="61"/>
      <c r="L24" s="61"/>
      <c r="M24" s="20"/>
      <c r="N24" s="20"/>
      <c r="O24" s="20"/>
    </row>
    <row r="25" spans="1:15">
      <c r="A25" s="55" t="s">
        <v>112</v>
      </c>
      <c r="B25" s="60" t="s">
        <v>21</v>
      </c>
      <c r="C25" s="57">
        <f>C5-0.5</f>
        <v>-8.5</v>
      </c>
      <c r="D25" s="58">
        <f>D5</f>
        <v>-0.6</v>
      </c>
      <c r="E25" s="59">
        <f>E5*0.95</f>
        <v>23.75</v>
      </c>
      <c r="F25" s="59">
        <f>F5*1.5</f>
        <v>37.5</v>
      </c>
      <c r="G25" s="59">
        <f>G5*1.1</f>
        <v>44</v>
      </c>
      <c r="H25" s="59">
        <f>H5*1.05</f>
        <v>42</v>
      </c>
      <c r="I25" s="59">
        <f>I5*0.87</f>
        <v>104.4</v>
      </c>
      <c r="J25" s="55">
        <f>J5*0.5*1.5</f>
        <v>9</v>
      </c>
      <c r="K25" s="61"/>
      <c r="L25" s="61"/>
      <c r="M25" s="20"/>
      <c r="N25" s="20"/>
      <c r="O25" s="2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zoomScale="115" zoomScaleNormal="115" workbookViewId="0">
      <selection activeCell="F6" sqref="F6"/>
    </sheetView>
  </sheetViews>
  <sheetFormatPr defaultColWidth="8.88888888888889" defaultRowHeight="13.8"/>
  <cols>
    <col min="1" max="1" width="11.2037037037037" customWidth="1"/>
    <col min="2" max="2" width="5.78703703703704" customWidth="1"/>
    <col min="3" max="3" width="10.4259259259259" customWidth="1"/>
    <col min="4" max="4" width="10.1481481481481" customWidth="1"/>
    <col min="5" max="5" width="12.9444444444444" customWidth="1"/>
    <col min="6" max="6" width="18.6388888888889" style="16" customWidth="1"/>
    <col min="7" max="7" width="12.1666666666667" customWidth="1"/>
    <col min="8" max="8" width="15.4537037037037" customWidth="1"/>
    <col min="9" max="9" width="14.8796296296296" customWidth="1"/>
    <col min="10" max="10" width="8.88888888888889" style="17"/>
    <col min="11" max="12" width="12.7777777777778" customWidth="1"/>
  </cols>
  <sheetData>
    <row r="1" ht="29" customHeight="1" spans="1:12">
      <c r="A1" s="18" t="s">
        <v>0</v>
      </c>
      <c r="B1" s="18" t="s">
        <v>1</v>
      </c>
      <c r="C1" s="19" t="s">
        <v>83</v>
      </c>
      <c r="D1" s="19" t="s">
        <v>113</v>
      </c>
      <c r="E1" s="19" t="s">
        <v>6</v>
      </c>
      <c r="F1" s="19" t="s">
        <v>114</v>
      </c>
      <c r="G1" s="19" t="s">
        <v>115</v>
      </c>
      <c r="H1" s="19" t="s">
        <v>116</v>
      </c>
      <c r="I1" s="18" t="s">
        <v>117</v>
      </c>
      <c r="J1" s="23" t="s">
        <v>88</v>
      </c>
      <c r="K1" s="19"/>
      <c r="L1" s="19"/>
    </row>
    <row r="2" spans="1:12">
      <c r="A2" s="18" t="s">
        <v>118</v>
      </c>
      <c r="B2" s="18" t="s">
        <v>14</v>
      </c>
      <c r="C2" s="20">
        <v>0</v>
      </c>
      <c r="D2" s="18">
        <v>-0.2</v>
      </c>
      <c r="E2" s="18">
        <v>-10</v>
      </c>
      <c r="F2" s="21">
        <v>0.2</v>
      </c>
      <c r="G2" s="22">
        <v>0</v>
      </c>
      <c r="H2" s="22">
        <v>0</v>
      </c>
      <c r="I2" s="22">
        <v>-0.99</v>
      </c>
      <c r="J2" s="18">
        <v>-0.2</v>
      </c>
      <c r="K2" s="20"/>
      <c r="L2" s="20"/>
    </row>
    <row r="3" spans="1:12">
      <c r="A3" s="18" t="s">
        <v>119</v>
      </c>
      <c r="B3" s="18" t="s">
        <v>16</v>
      </c>
      <c r="C3" s="20">
        <v>-0.1</v>
      </c>
      <c r="D3" s="20">
        <v>0</v>
      </c>
      <c r="E3" s="18">
        <v>0</v>
      </c>
      <c r="F3" s="21">
        <v>0</v>
      </c>
      <c r="G3" s="22">
        <v>0.2</v>
      </c>
      <c r="H3" s="22">
        <v>0.2</v>
      </c>
      <c r="I3" s="22">
        <v>0.2</v>
      </c>
      <c r="J3" s="18">
        <v>0</v>
      </c>
      <c r="K3" s="20"/>
      <c r="L3" s="20"/>
    </row>
    <row r="4" spans="1:12">
      <c r="A4" s="18" t="s">
        <v>120</v>
      </c>
      <c r="B4" s="18" t="s">
        <v>18</v>
      </c>
      <c r="C4" s="20">
        <v>-0.3</v>
      </c>
      <c r="D4" s="18">
        <v>0.1</v>
      </c>
      <c r="E4" s="18">
        <v>0</v>
      </c>
      <c r="F4" s="21">
        <v>-0.2</v>
      </c>
      <c r="G4" s="22">
        <v>0.45</v>
      </c>
      <c r="H4" s="22">
        <v>0.45</v>
      </c>
      <c r="I4" s="22">
        <v>0.5</v>
      </c>
      <c r="J4" s="18">
        <v>0.1</v>
      </c>
      <c r="K4" s="20"/>
      <c r="L4" s="20"/>
    </row>
    <row r="5" spans="1:12">
      <c r="A5" s="18" t="s">
        <v>121</v>
      </c>
      <c r="B5" s="23" t="s">
        <v>21</v>
      </c>
      <c r="C5" s="20">
        <v>-0.5</v>
      </c>
      <c r="D5" s="24">
        <v>0.3</v>
      </c>
      <c r="E5" s="18">
        <v>0</v>
      </c>
      <c r="F5" s="21">
        <v>-0.4</v>
      </c>
      <c r="G5" s="22">
        <v>0.7</v>
      </c>
      <c r="H5" s="22">
        <v>0.7</v>
      </c>
      <c r="I5" s="22">
        <v>0.7</v>
      </c>
      <c r="J5" s="18">
        <v>0.2</v>
      </c>
      <c r="K5" s="20"/>
      <c r="L5" s="20"/>
    </row>
    <row r="6" spans="1:11">
      <c r="A6" s="18" t="s">
        <v>122</v>
      </c>
      <c r="B6" s="18" t="s">
        <v>44</v>
      </c>
      <c r="C6" s="20">
        <v>-0.8</v>
      </c>
      <c r="D6" s="18">
        <v>0.4</v>
      </c>
      <c r="E6" s="18">
        <v>0</v>
      </c>
      <c r="F6" s="18">
        <v>-0.5</v>
      </c>
      <c r="G6" s="22">
        <v>1</v>
      </c>
      <c r="H6" s="22">
        <v>1</v>
      </c>
      <c r="I6" s="22">
        <v>0.9</v>
      </c>
      <c r="J6" s="18">
        <v>0.3</v>
      </c>
      <c r="K6" s="27"/>
    </row>
    <row r="7" spans="1:11">
      <c r="A7" s="25"/>
      <c r="B7" s="25"/>
      <c r="C7" s="25"/>
      <c r="D7" s="25"/>
      <c r="E7" s="25"/>
      <c r="F7" s="26"/>
      <c r="G7" s="25"/>
      <c r="H7" s="25"/>
      <c r="I7" s="25"/>
      <c r="J7" s="18"/>
      <c r="K7" s="27"/>
    </row>
    <row r="8" spans="1:11">
      <c r="A8" s="25"/>
      <c r="B8" s="25"/>
      <c r="C8" s="25"/>
      <c r="D8" s="25"/>
      <c r="E8" s="25"/>
      <c r="F8" s="26"/>
      <c r="G8" s="25"/>
      <c r="H8" s="25"/>
      <c r="I8" s="25"/>
      <c r="J8" s="18"/>
      <c r="K8" s="27"/>
    </row>
    <row r="9" spans="1:11">
      <c r="A9" s="27"/>
      <c r="B9" s="27"/>
      <c r="C9" s="27"/>
      <c r="D9" s="27"/>
      <c r="E9" s="27"/>
      <c r="F9" s="28"/>
      <c r="G9" s="27"/>
      <c r="H9" s="27"/>
      <c r="I9" s="27"/>
      <c r="J9" s="29"/>
      <c r="K9" s="2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zoomScale="145" zoomScaleNormal="145" workbookViewId="0">
      <pane ySplit="1" topLeftCell="A14" activePane="bottomLeft" state="frozen"/>
      <selection/>
      <selection pane="bottomLeft" activeCell="I19" sqref="I19"/>
    </sheetView>
  </sheetViews>
  <sheetFormatPr defaultColWidth="8.88888888888889" defaultRowHeight="13.8"/>
  <cols>
    <col min="1" max="1" width="11.5648148148148" style="11" customWidth="1"/>
    <col min="2" max="2" width="9.12037037037037" style="12" customWidth="1"/>
    <col min="3" max="3" width="7.35185185185185" style="12" customWidth="1"/>
    <col min="4" max="4" width="6.43518518518519" style="12" customWidth="1"/>
    <col min="5" max="5" width="6.50925925925926" style="12" customWidth="1"/>
    <col min="6" max="6" width="6.89814814814815" style="12" customWidth="1"/>
    <col min="7" max="7" width="7.35185185185185" style="12" customWidth="1"/>
    <col min="8" max="8" width="5.74074074074074" style="12" customWidth="1"/>
    <col min="9" max="9" width="6.66666666666667" style="12" customWidth="1"/>
    <col min="10" max="10" width="7.74074074074074" style="12" customWidth="1"/>
    <col min="11" max="12" width="7.43518518518519" style="12" customWidth="1"/>
    <col min="13" max="13" width="8.5" style="12" customWidth="1"/>
    <col min="14" max="14" width="8.49074074074074" style="12" customWidth="1"/>
    <col min="15" max="16384" width="8.88888888888889" style="12"/>
  </cols>
  <sheetData>
    <row r="1" s="10" customFormat="1" ht="39.6" spans="1:15">
      <c r="A1" s="2" t="s">
        <v>123</v>
      </c>
      <c r="B1" s="3" t="s">
        <v>83</v>
      </c>
      <c r="C1" s="3" t="s">
        <v>7</v>
      </c>
      <c r="D1" s="3" t="s">
        <v>8</v>
      </c>
      <c r="E1" s="3" t="s">
        <v>6</v>
      </c>
      <c r="F1" s="3" t="s">
        <v>2</v>
      </c>
      <c r="G1" s="3" t="s">
        <v>4</v>
      </c>
      <c r="H1" s="3" t="s">
        <v>5</v>
      </c>
      <c r="I1" s="3" t="s">
        <v>84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9" t="s">
        <v>12</v>
      </c>
    </row>
    <row r="2" spans="1:15">
      <c r="A2" s="13" t="s">
        <v>129</v>
      </c>
      <c r="B2" s="13">
        <v>0.95</v>
      </c>
      <c r="C2" s="13">
        <v>15</v>
      </c>
      <c r="D2" s="13">
        <v>18</v>
      </c>
      <c r="E2" s="13">
        <v>8</v>
      </c>
      <c r="F2" s="13">
        <v>22</v>
      </c>
      <c r="G2" s="13">
        <v>20</v>
      </c>
      <c r="H2" s="13">
        <v>10</v>
      </c>
      <c r="I2" s="13">
        <v>5</v>
      </c>
      <c r="J2" s="13">
        <v>1.1</v>
      </c>
      <c r="K2" s="13">
        <v>1.15</v>
      </c>
      <c r="L2" s="13">
        <v>0.9</v>
      </c>
      <c r="M2" s="13">
        <v>1.05</v>
      </c>
      <c r="N2" s="13">
        <v>1</v>
      </c>
      <c r="O2" s="14"/>
    </row>
    <row r="3" spans="1:15">
      <c r="A3" s="13" t="s">
        <v>130</v>
      </c>
      <c r="B3" s="13">
        <v>0.85</v>
      </c>
      <c r="C3" s="13">
        <v>5</v>
      </c>
      <c r="D3" s="13">
        <v>25</v>
      </c>
      <c r="E3" s="13">
        <v>12</v>
      </c>
      <c r="F3" s="13">
        <v>8</v>
      </c>
      <c r="G3" s="13">
        <v>10</v>
      </c>
      <c r="H3" s="13">
        <v>15</v>
      </c>
      <c r="I3" s="13">
        <v>18</v>
      </c>
      <c r="J3" s="13">
        <v>0.9</v>
      </c>
      <c r="K3" s="13">
        <v>1.25</v>
      </c>
      <c r="L3" s="13">
        <v>1.1</v>
      </c>
      <c r="M3" s="13">
        <v>0.85</v>
      </c>
      <c r="N3" s="13">
        <v>0.95</v>
      </c>
      <c r="O3" s="14"/>
    </row>
    <row r="4" spans="1:15">
      <c r="A4" s="13" t="s">
        <v>131</v>
      </c>
      <c r="B4" s="13">
        <v>0.75</v>
      </c>
      <c r="C4" s="13">
        <v>28</v>
      </c>
      <c r="D4" s="13">
        <v>5</v>
      </c>
      <c r="E4" s="13">
        <v>5</v>
      </c>
      <c r="F4" s="13">
        <v>35</v>
      </c>
      <c r="G4" s="13">
        <v>30</v>
      </c>
      <c r="H4" s="13">
        <v>25</v>
      </c>
      <c r="I4" s="13">
        <v>8</v>
      </c>
      <c r="J4" s="13">
        <v>1.2</v>
      </c>
      <c r="K4" s="13">
        <v>0.85</v>
      </c>
      <c r="L4" s="13">
        <v>0.8</v>
      </c>
      <c r="M4" s="13">
        <v>1.3</v>
      </c>
      <c r="N4" s="13">
        <v>1.2</v>
      </c>
      <c r="O4" s="14"/>
    </row>
    <row r="5" spans="1:15">
      <c r="A5" s="13" t="s">
        <v>132</v>
      </c>
      <c r="B5" s="13">
        <v>0.9</v>
      </c>
      <c r="C5" s="13">
        <v>20</v>
      </c>
      <c r="D5" s="13">
        <v>20</v>
      </c>
      <c r="E5" s="13">
        <v>10</v>
      </c>
      <c r="F5" s="13">
        <v>15</v>
      </c>
      <c r="G5" s="13">
        <v>12</v>
      </c>
      <c r="H5" s="13">
        <v>8</v>
      </c>
      <c r="I5" s="13">
        <v>2</v>
      </c>
      <c r="J5" s="13">
        <v>1.05</v>
      </c>
      <c r="K5" s="13">
        <v>1.1</v>
      </c>
      <c r="L5" s="13">
        <v>1</v>
      </c>
      <c r="M5" s="13">
        <v>0.95</v>
      </c>
      <c r="N5" s="13">
        <v>0.9</v>
      </c>
      <c r="O5" s="14"/>
    </row>
    <row r="6" spans="1:14">
      <c r="A6" s="13" t="s">
        <v>133</v>
      </c>
      <c r="B6" s="13">
        <v>0.8</v>
      </c>
      <c r="C6" s="13">
        <v>12</v>
      </c>
      <c r="D6" s="13">
        <v>15</v>
      </c>
      <c r="E6" s="13">
        <v>3</v>
      </c>
      <c r="F6" s="13">
        <v>25</v>
      </c>
      <c r="G6" s="13">
        <v>5</v>
      </c>
      <c r="H6" s="13">
        <v>5</v>
      </c>
      <c r="I6" s="13">
        <v>2</v>
      </c>
      <c r="J6" s="13">
        <v>1</v>
      </c>
      <c r="K6" s="13">
        <v>1.05</v>
      </c>
      <c r="L6" s="13">
        <v>0.7</v>
      </c>
      <c r="M6" s="13">
        <v>1.15</v>
      </c>
      <c r="N6" s="13">
        <v>0.8</v>
      </c>
    </row>
    <row r="7" spans="1:14">
      <c r="A7" s="13" t="s">
        <v>134</v>
      </c>
      <c r="B7" s="13">
        <v>0.88</v>
      </c>
      <c r="C7" s="13">
        <v>8</v>
      </c>
      <c r="D7" s="13">
        <v>35</v>
      </c>
      <c r="E7" s="13">
        <v>15</v>
      </c>
      <c r="F7" s="13">
        <v>18</v>
      </c>
      <c r="G7" s="13">
        <v>25</v>
      </c>
      <c r="H7" s="13">
        <v>20</v>
      </c>
      <c r="I7" s="13">
        <v>5</v>
      </c>
      <c r="J7" s="13">
        <v>0.95</v>
      </c>
      <c r="K7" s="13">
        <v>1.35</v>
      </c>
      <c r="L7" s="13">
        <v>1.2</v>
      </c>
      <c r="M7" s="13">
        <v>1</v>
      </c>
      <c r="N7" s="13">
        <v>1.15</v>
      </c>
    </row>
    <row r="8" spans="1:14">
      <c r="A8" s="13" t="s">
        <v>135</v>
      </c>
      <c r="B8" s="13">
        <v>0.7</v>
      </c>
      <c r="C8" s="13">
        <v>35</v>
      </c>
      <c r="D8" s="13">
        <v>8</v>
      </c>
      <c r="E8" s="13">
        <v>8</v>
      </c>
      <c r="F8" s="13">
        <v>40</v>
      </c>
      <c r="G8" s="13">
        <v>35</v>
      </c>
      <c r="H8" s="13">
        <v>22</v>
      </c>
      <c r="I8" s="13">
        <v>12</v>
      </c>
      <c r="J8" s="13">
        <v>1.3</v>
      </c>
      <c r="K8" s="13">
        <v>0.9</v>
      </c>
      <c r="L8" s="13">
        <v>0.85</v>
      </c>
      <c r="M8" s="13">
        <v>1.35</v>
      </c>
      <c r="N8" s="13">
        <v>1.25</v>
      </c>
    </row>
    <row r="9" spans="1:14">
      <c r="A9" s="13" t="s">
        <v>136</v>
      </c>
      <c r="B9" s="13">
        <v>0.82</v>
      </c>
      <c r="C9" s="13">
        <v>22</v>
      </c>
      <c r="D9" s="13">
        <v>18</v>
      </c>
      <c r="E9" s="13">
        <v>10</v>
      </c>
      <c r="F9" s="13">
        <v>28</v>
      </c>
      <c r="G9" s="13">
        <v>20</v>
      </c>
      <c r="H9" s="13">
        <v>18</v>
      </c>
      <c r="I9" s="13">
        <v>6</v>
      </c>
      <c r="J9" s="13">
        <v>1.15</v>
      </c>
      <c r="K9" s="13">
        <v>1.08</v>
      </c>
      <c r="L9" s="13">
        <v>1.05</v>
      </c>
      <c r="M9" s="13">
        <v>1.2</v>
      </c>
      <c r="N9" s="13">
        <v>1.1</v>
      </c>
    </row>
    <row r="10" spans="1:14">
      <c r="A10" s="13" t="s">
        <v>137</v>
      </c>
      <c r="B10" s="13">
        <v>0.78</v>
      </c>
      <c r="C10" s="13">
        <v>16</v>
      </c>
      <c r="D10" s="13">
        <v>22</v>
      </c>
      <c r="E10" s="13">
        <v>10</v>
      </c>
      <c r="F10" s="13">
        <v>30</v>
      </c>
      <c r="G10" s="13">
        <v>18</v>
      </c>
      <c r="H10" s="13">
        <v>15</v>
      </c>
      <c r="I10" s="13">
        <v>4</v>
      </c>
      <c r="J10" s="13">
        <v>1.08</v>
      </c>
      <c r="K10" s="13">
        <v>1.18</v>
      </c>
      <c r="L10" s="13">
        <v>1.02</v>
      </c>
      <c r="M10" s="13">
        <v>1.25</v>
      </c>
      <c r="N10" s="13">
        <v>1.05</v>
      </c>
    </row>
    <row r="11" spans="2:14">
      <c r="B11" s="5"/>
      <c r="C11" s="6"/>
      <c r="D11" s="6"/>
      <c r="E11" s="6"/>
      <c r="F11" s="6"/>
      <c r="G11" s="6"/>
      <c r="H11" s="6"/>
      <c r="I11" s="5"/>
      <c r="J11" s="5"/>
      <c r="K11" s="5"/>
      <c r="L11" s="5"/>
      <c r="M11" s="5"/>
      <c r="N11" s="5"/>
    </row>
    <row r="12" spans="1:15">
      <c r="A12" s="7" t="s">
        <v>129</v>
      </c>
      <c r="B12" s="7">
        <f>(B2)*(0.8)-1</f>
        <v>-0.24</v>
      </c>
      <c r="C12" s="8">
        <f>C2*6</f>
        <v>90</v>
      </c>
      <c r="D12" s="8">
        <f>D2*6</f>
        <v>108</v>
      </c>
      <c r="E12" s="8">
        <f>E2*10</f>
        <v>80</v>
      </c>
      <c r="F12" s="8">
        <f>F2*5</f>
        <v>110</v>
      </c>
      <c r="G12" s="8">
        <f>G2*6</f>
        <v>120</v>
      </c>
      <c r="H12" s="8">
        <f>H2*7</f>
        <v>70</v>
      </c>
      <c r="I12" s="8">
        <f>I2*10</f>
        <v>50</v>
      </c>
      <c r="J12" s="7">
        <f>J2</f>
        <v>1.1</v>
      </c>
      <c r="K12" s="7">
        <f>K2</f>
        <v>1.15</v>
      </c>
      <c r="L12" s="7">
        <f>L2</f>
        <v>0.9</v>
      </c>
      <c r="M12" s="7">
        <f>M2</f>
        <v>1.05</v>
      </c>
      <c r="N12" s="7">
        <f>N2</f>
        <v>1</v>
      </c>
      <c r="O12" s="15">
        <f>(C12+D12+E12+F12+G12)*1.5</f>
        <v>762</v>
      </c>
    </row>
    <row r="13" spans="1:15">
      <c r="A13" s="7" t="s">
        <v>130</v>
      </c>
      <c r="B13" s="7">
        <f t="shared" ref="B13:B20" si="0">(B3)*(0.8)-1</f>
        <v>-0.32</v>
      </c>
      <c r="C13" s="8">
        <f t="shared" ref="C13:C20" si="1">C3*6</f>
        <v>30</v>
      </c>
      <c r="D13" s="8">
        <f t="shared" ref="D13:D20" si="2">D3*6</f>
        <v>150</v>
      </c>
      <c r="E13" s="8">
        <f t="shared" ref="E13:E20" si="3">E3*10</f>
        <v>120</v>
      </c>
      <c r="F13" s="8">
        <f t="shared" ref="F13:F20" si="4">F3*5</f>
        <v>40</v>
      </c>
      <c r="G13" s="8">
        <f t="shared" ref="G13:G20" si="5">G3*6</f>
        <v>60</v>
      </c>
      <c r="H13" s="8">
        <f t="shared" ref="H13:H20" si="6">H3*7</f>
        <v>105</v>
      </c>
      <c r="I13" s="8">
        <f t="shared" ref="I13:I20" si="7">I3*10</f>
        <v>180</v>
      </c>
      <c r="J13" s="7">
        <f t="shared" ref="J13:J20" si="8">J3</f>
        <v>0.9</v>
      </c>
      <c r="K13" s="7">
        <f t="shared" ref="K13:K20" si="9">K3</f>
        <v>1.25</v>
      </c>
      <c r="L13" s="7">
        <f t="shared" ref="L13:L20" si="10">L3</f>
        <v>1.1</v>
      </c>
      <c r="M13" s="7">
        <f t="shared" ref="M13:M20" si="11">M3</f>
        <v>0.85</v>
      </c>
      <c r="N13" s="7">
        <f t="shared" ref="N13:N20" si="12">N3</f>
        <v>0.95</v>
      </c>
      <c r="O13" s="15">
        <f t="shared" ref="O13:O20" si="13">(C13+D13+E13+F13+G13)*1.5</f>
        <v>600</v>
      </c>
    </row>
    <row r="14" spans="1:15">
      <c r="A14" s="7" t="s">
        <v>131</v>
      </c>
      <c r="B14" s="7">
        <f t="shared" si="0"/>
        <v>-0.4</v>
      </c>
      <c r="C14" s="8">
        <f t="shared" si="1"/>
        <v>168</v>
      </c>
      <c r="D14" s="8">
        <f t="shared" si="2"/>
        <v>30</v>
      </c>
      <c r="E14" s="8">
        <f t="shared" si="3"/>
        <v>50</v>
      </c>
      <c r="F14" s="8">
        <f t="shared" si="4"/>
        <v>175</v>
      </c>
      <c r="G14" s="8">
        <f t="shared" si="5"/>
        <v>180</v>
      </c>
      <c r="H14" s="8">
        <f t="shared" si="6"/>
        <v>175</v>
      </c>
      <c r="I14" s="8">
        <f t="shared" si="7"/>
        <v>80</v>
      </c>
      <c r="J14" s="7">
        <f t="shared" si="8"/>
        <v>1.2</v>
      </c>
      <c r="K14" s="7">
        <f t="shared" si="9"/>
        <v>0.85</v>
      </c>
      <c r="L14" s="7">
        <f t="shared" si="10"/>
        <v>0.8</v>
      </c>
      <c r="M14" s="7">
        <f t="shared" si="11"/>
        <v>1.3</v>
      </c>
      <c r="N14" s="7">
        <f t="shared" si="12"/>
        <v>1.2</v>
      </c>
      <c r="O14" s="15">
        <f t="shared" si="13"/>
        <v>904.5</v>
      </c>
    </row>
    <row r="15" spans="1:15">
      <c r="A15" s="7" t="s">
        <v>132</v>
      </c>
      <c r="B15" s="7">
        <f t="shared" si="0"/>
        <v>-0.28</v>
      </c>
      <c r="C15" s="8">
        <f t="shared" si="1"/>
        <v>120</v>
      </c>
      <c r="D15" s="8">
        <f t="shared" si="2"/>
        <v>120</v>
      </c>
      <c r="E15" s="8">
        <f t="shared" si="3"/>
        <v>100</v>
      </c>
      <c r="F15" s="8">
        <f t="shared" si="4"/>
        <v>75</v>
      </c>
      <c r="G15" s="8">
        <f t="shared" si="5"/>
        <v>72</v>
      </c>
      <c r="H15" s="8">
        <f t="shared" si="6"/>
        <v>56</v>
      </c>
      <c r="I15" s="8">
        <f t="shared" si="7"/>
        <v>20</v>
      </c>
      <c r="J15" s="7">
        <f t="shared" si="8"/>
        <v>1.05</v>
      </c>
      <c r="K15" s="7">
        <f t="shared" si="9"/>
        <v>1.1</v>
      </c>
      <c r="L15" s="7">
        <f t="shared" si="10"/>
        <v>1</v>
      </c>
      <c r="M15" s="7">
        <f t="shared" si="11"/>
        <v>0.95</v>
      </c>
      <c r="N15" s="7">
        <f t="shared" si="12"/>
        <v>0.9</v>
      </c>
      <c r="O15" s="15">
        <f t="shared" si="13"/>
        <v>730.5</v>
      </c>
    </row>
    <row r="16" spans="1:15">
      <c r="A16" s="7" t="s">
        <v>133</v>
      </c>
      <c r="B16" s="7">
        <f t="shared" si="0"/>
        <v>-0.36</v>
      </c>
      <c r="C16" s="8">
        <f t="shared" si="1"/>
        <v>72</v>
      </c>
      <c r="D16" s="8">
        <f t="shared" si="2"/>
        <v>90</v>
      </c>
      <c r="E16" s="8">
        <f t="shared" si="3"/>
        <v>30</v>
      </c>
      <c r="F16" s="8">
        <f t="shared" si="4"/>
        <v>125</v>
      </c>
      <c r="G16" s="8">
        <f t="shared" si="5"/>
        <v>30</v>
      </c>
      <c r="H16" s="8">
        <f t="shared" si="6"/>
        <v>35</v>
      </c>
      <c r="I16" s="8">
        <f t="shared" si="7"/>
        <v>20</v>
      </c>
      <c r="J16" s="7">
        <f t="shared" si="8"/>
        <v>1</v>
      </c>
      <c r="K16" s="7">
        <f t="shared" si="9"/>
        <v>1.05</v>
      </c>
      <c r="L16" s="7">
        <f t="shared" si="10"/>
        <v>0.7</v>
      </c>
      <c r="M16" s="7">
        <f t="shared" si="11"/>
        <v>1.15</v>
      </c>
      <c r="N16" s="7">
        <f t="shared" si="12"/>
        <v>0.8</v>
      </c>
      <c r="O16" s="15">
        <f t="shared" si="13"/>
        <v>520.5</v>
      </c>
    </row>
    <row r="17" spans="1:15">
      <c r="A17" s="7" t="s">
        <v>134</v>
      </c>
      <c r="B17" s="7">
        <f t="shared" si="0"/>
        <v>-0.296</v>
      </c>
      <c r="C17" s="8">
        <f t="shared" si="1"/>
        <v>48</v>
      </c>
      <c r="D17" s="8">
        <f t="shared" si="2"/>
        <v>210</v>
      </c>
      <c r="E17" s="8">
        <f t="shared" si="3"/>
        <v>150</v>
      </c>
      <c r="F17" s="8">
        <f t="shared" si="4"/>
        <v>90</v>
      </c>
      <c r="G17" s="8">
        <f t="shared" si="5"/>
        <v>150</v>
      </c>
      <c r="H17" s="8">
        <f t="shared" si="6"/>
        <v>140</v>
      </c>
      <c r="I17" s="8">
        <f t="shared" si="7"/>
        <v>50</v>
      </c>
      <c r="J17" s="7">
        <f t="shared" si="8"/>
        <v>0.95</v>
      </c>
      <c r="K17" s="7">
        <f t="shared" si="9"/>
        <v>1.35</v>
      </c>
      <c r="L17" s="7">
        <f t="shared" si="10"/>
        <v>1.2</v>
      </c>
      <c r="M17" s="7">
        <f t="shared" si="11"/>
        <v>1</v>
      </c>
      <c r="N17" s="7">
        <f t="shared" si="12"/>
        <v>1.15</v>
      </c>
      <c r="O17" s="15">
        <f t="shared" si="13"/>
        <v>972</v>
      </c>
    </row>
    <row r="18" spans="1:15">
      <c r="A18" s="7" t="s">
        <v>135</v>
      </c>
      <c r="B18" s="7">
        <f t="shared" si="0"/>
        <v>-0.44</v>
      </c>
      <c r="C18" s="8">
        <f t="shared" si="1"/>
        <v>210</v>
      </c>
      <c r="D18" s="8">
        <f t="shared" si="2"/>
        <v>48</v>
      </c>
      <c r="E18" s="8">
        <f t="shared" si="3"/>
        <v>80</v>
      </c>
      <c r="F18" s="8">
        <f t="shared" si="4"/>
        <v>200</v>
      </c>
      <c r="G18" s="8">
        <f t="shared" si="5"/>
        <v>210</v>
      </c>
      <c r="H18" s="8">
        <f t="shared" si="6"/>
        <v>154</v>
      </c>
      <c r="I18" s="8">
        <f t="shared" si="7"/>
        <v>120</v>
      </c>
      <c r="J18" s="7">
        <f t="shared" si="8"/>
        <v>1.3</v>
      </c>
      <c r="K18" s="7">
        <f t="shared" si="9"/>
        <v>0.9</v>
      </c>
      <c r="L18" s="7">
        <f t="shared" si="10"/>
        <v>0.85</v>
      </c>
      <c r="M18" s="7">
        <f t="shared" si="11"/>
        <v>1.35</v>
      </c>
      <c r="N18" s="7">
        <f t="shared" si="12"/>
        <v>1.25</v>
      </c>
      <c r="O18" s="15">
        <f t="shared" si="13"/>
        <v>1122</v>
      </c>
    </row>
    <row r="19" spans="1:15">
      <c r="A19" s="7" t="s">
        <v>136</v>
      </c>
      <c r="B19" s="7">
        <f t="shared" si="0"/>
        <v>-0.344</v>
      </c>
      <c r="C19" s="8">
        <f t="shared" si="1"/>
        <v>132</v>
      </c>
      <c r="D19" s="8">
        <f t="shared" si="2"/>
        <v>108</v>
      </c>
      <c r="E19" s="8">
        <f t="shared" si="3"/>
        <v>100</v>
      </c>
      <c r="F19" s="8">
        <f t="shared" si="4"/>
        <v>140</v>
      </c>
      <c r="G19" s="8">
        <f t="shared" si="5"/>
        <v>120</v>
      </c>
      <c r="H19" s="8">
        <f t="shared" si="6"/>
        <v>126</v>
      </c>
      <c r="I19" s="8">
        <f t="shared" si="7"/>
        <v>60</v>
      </c>
      <c r="J19" s="7">
        <f t="shared" si="8"/>
        <v>1.15</v>
      </c>
      <c r="K19" s="7">
        <f t="shared" si="9"/>
        <v>1.08</v>
      </c>
      <c r="L19" s="7">
        <f t="shared" si="10"/>
        <v>1.05</v>
      </c>
      <c r="M19" s="7">
        <f t="shared" si="11"/>
        <v>1.2</v>
      </c>
      <c r="N19" s="7">
        <f t="shared" si="12"/>
        <v>1.1</v>
      </c>
      <c r="O19" s="15">
        <f t="shared" si="13"/>
        <v>900</v>
      </c>
    </row>
    <row r="20" spans="1:15">
      <c r="A20" s="7" t="s">
        <v>137</v>
      </c>
      <c r="B20" s="7">
        <f t="shared" si="0"/>
        <v>-0.376</v>
      </c>
      <c r="C20" s="8">
        <f t="shared" si="1"/>
        <v>96</v>
      </c>
      <c r="D20" s="8">
        <f t="shared" si="2"/>
        <v>132</v>
      </c>
      <c r="E20" s="8">
        <f t="shared" si="3"/>
        <v>100</v>
      </c>
      <c r="F20" s="8">
        <f t="shared" si="4"/>
        <v>150</v>
      </c>
      <c r="G20" s="8">
        <f t="shared" si="5"/>
        <v>108</v>
      </c>
      <c r="H20" s="8">
        <f t="shared" si="6"/>
        <v>105</v>
      </c>
      <c r="I20" s="8">
        <f t="shared" si="7"/>
        <v>40</v>
      </c>
      <c r="J20" s="7">
        <f t="shared" si="8"/>
        <v>1.08</v>
      </c>
      <c r="K20" s="7">
        <f t="shared" si="9"/>
        <v>1.18</v>
      </c>
      <c r="L20" s="7">
        <f t="shared" si="10"/>
        <v>1.02</v>
      </c>
      <c r="M20" s="7">
        <f t="shared" si="11"/>
        <v>1.25</v>
      </c>
      <c r="N20" s="7">
        <f t="shared" si="12"/>
        <v>1.05</v>
      </c>
      <c r="O20" s="15">
        <f t="shared" si="13"/>
        <v>879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="145" zoomScaleNormal="145" workbookViewId="0">
      <pane ySplit="1" topLeftCell="A16" activePane="bottomLeft" state="frozen"/>
      <selection/>
      <selection pane="bottomLeft" activeCell="G17" sqref="G17"/>
    </sheetView>
  </sheetViews>
  <sheetFormatPr defaultColWidth="8.88888888888889" defaultRowHeight="13.8"/>
  <cols>
    <col min="1" max="1" width="11.5648148148148" style="1" customWidth="1"/>
    <col min="2" max="3" width="9.12037037037037" style="1" customWidth="1"/>
    <col min="4" max="6" width="7.35185185185185" style="1" customWidth="1"/>
    <col min="7" max="9" width="6.43518518518519" style="1" customWidth="1"/>
    <col min="10" max="10" width="8.5" style="1" customWidth="1"/>
    <col min="11" max="11" width="8.49074074074074" style="1" customWidth="1"/>
    <col min="12" max="16384" width="8.88888888888889" style="1"/>
  </cols>
  <sheetData>
    <row r="1" ht="39.6" spans="1:12">
      <c r="A1" s="2" t="s">
        <v>123</v>
      </c>
      <c r="B1" s="3" t="s">
        <v>83</v>
      </c>
      <c r="C1" s="3" t="s">
        <v>138</v>
      </c>
      <c r="D1" s="3" t="s">
        <v>139</v>
      </c>
      <c r="E1" s="3" t="s">
        <v>140</v>
      </c>
      <c r="F1" s="3" t="s">
        <v>7</v>
      </c>
      <c r="G1" s="3" t="s">
        <v>8</v>
      </c>
      <c r="H1" s="3" t="s">
        <v>2</v>
      </c>
      <c r="I1" s="3" t="s">
        <v>4</v>
      </c>
      <c r="J1" s="3" t="s">
        <v>127</v>
      </c>
      <c r="K1" s="3" t="s">
        <v>128</v>
      </c>
      <c r="L1" s="9" t="s">
        <v>12</v>
      </c>
    </row>
    <row r="2" spans="1:12">
      <c r="A2" s="4" t="s">
        <v>141</v>
      </c>
      <c r="B2" s="4">
        <v>0.9</v>
      </c>
      <c r="C2" s="4">
        <v>2</v>
      </c>
      <c r="D2" s="4">
        <v>8</v>
      </c>
      <c r="E2" s="4">
        <v>0.85</v>
      </c>
      <c r="F2" s="4">
        <v>12</v>
      </c>
      <c r="G2" s="4">
        <v>15</v>
      </c>
      <c r="H2" s="4">
        <v>20</v>
      </c>
      <c r="I2" s="4">
        <v>18</v>
      </c>
      <c r="J2" s="4">
        <v>1.1</v>
      </c>
      <c r="K2" s="4">
        <v>1.05</v>
      </c>
      <c r="L2" s="4">
        <v>125</v>
      </c>
    </row>
    <row r="3" spans="1:12">
      <c r="A3" s="4" t="s">
        <v>142</v>
      </c>
      <c r="B3" s="4">
        <v>0.85</v>
      </c>
      <c r="C3" s="4">
        <v>4</v>
      </c>
      <c r="D3" s="4">
        <v>6</v>
      </c>
      <c r="E3" s="4">
        <v>0.9</v>
      </c>
      <c r="F3" s="4">
        <v>8</v>
      </c>
      <c r="G3" s="4">
        <v>12</v>
      </c>
      <c r="H3" s="4">
        <v>25</v>
      </c>
      <c r="I3" s="4">
        <v>10</v>
      </c>
      <c r="J3" s="4">
        <v>1.2</v>
      </c>
      <c r="K3" s="4">
        <v>0.95</v>
      </c>
      <c r="L3" s="4">
        <v>110</v>
      </c>
    </row>
    <row r="4" spans="1:12">
      <c r="A4" s="4" t="s">
        <v>143</v>
      </c>
      <c r="B4" s="4">
        <v>0.88</v>
      </c>
      <c r="C4" s="4">
        <v>6</v>
      </c>
      <c r="D4" s="4">
        <v>5</v>
      </c>
      <c r="E4" s="4">
        <v>0.88</v>
      </c>
      <c r="F4" s="4">
        <v>10</v>
      </c>
      <c r="G4" s="4">
        <v>10</v>
      </c>
      <c r="H4" s="4">
        <v>18</v>
      </c>
      <c r="I4" s="4">
        <v>8</v>
      </c>
      <c r="J4" s="4">
        <v>1.05</v>
      </c>
      <c r="K4" s="4">
        <v>0.9</v>
      </c>
      <c r="L4" s="4">
        <v>105</v>
      </c>
    </row>
    <row r="5" spans="1:12">
      <c r="A5" s="4" t="s">
        <v>144</v>
      </c>
      <c r="B5" s="4">
        <v>0.92</v>
      </c>
      <c r="C5" s="4">
        <v>3</v>
      </c>
      <c r="D5" s="4">
        <v>10</v>
      </c>
      <c r="E5" s="4">
        <v>0.8</v>
      </c>
      <c r="F5" s="4">
        <v>15</v>
      </c>
      <c r="G5" s="4">
        <v>18</v>
      </c>
      <c r="H5" s="4">
        <v>22</v>
      </c>
      <c r="I5" s="4">
        <v>15</v>
      </c>
      <c r="J5" s="4">
        <v>1.15</v>
      </c>
      <c r="K5" s="4">
        <v>1</v>
      </c>
      <c r="L5" s="4">
        <v>120</v>
      </c>
    </row>
    <row r="6" spans="1:12">
      <c r="A6" s="4" t="s">
        <v>145</v>
      </c>
      <c r="B6" s="4">
        <v>0.82</v>
      </c>
      <c r="C6" s="4">
        <v>2</v>
      </c>
      <c r="D6" s="4">
        <v>12</v>
      </c>
      <c r="E6" s="4">
        <v>0.75</v>
      </c>
      <c r="F6" s="4">
        <v>20</v>
      </c>
      <c r="G6" s="4">
        <v>22</v>
      </c>
      <c r="H6" s="4">
        <v>15</v>
      </c>
      <c r="I6" s="4">
        <v>25</v>
      </c>
      <c r="J6" s="4">
        <v>0.95</v>
      </c>
      <c r="K6" s="4">
        <v>1.25</v>
      </c>
      <c r="L6" s="4">
        <v>130</v>
      </c>
    </row>
    <row r="7" spans="1:12">
      <c r="A7" s="4" t="s">
        <v>146</v>
      </c>
      <c r="B7" s="4">
        <v>0.84</v>
      </c>
      <c r="C7" s="4">
        <v>5</v>
      </c>
      <c r="D7" s="4">
        <v>7</v>
      </c>
      <c r="E7" s="4">
        <v>0.82</v>
      </c>
      <c r="F7" s="4">
        <v>18</v>
      </c>
      <c r="G7" s="4">
        <v>16</v>
      </c>
      <c r="H7" s="4">
        <v>28</v>
      </c>
      <c r="I7" s="4">
        <v>20</v>
      </c>
      <c r="J7" s="4">
        <v>1.25</v>
      </c>
      <c r="K7" s="4">
        <v>1.15</v>
      </c>
      <c r="L7" s="4">
        <v>128</v>
      </c>
    </row>
    <row r="8" spans="1:12">
      <c r="A8" s="4" t="s">
        <v>147</v>
      </c>
      <c r="B8" s="4">
        <v>0.8</v>
      </c>
      <c r="C8" s="4">
        <v>1</v>
      </c>
      <c r="D8" s="4">
        <v>15</v>
      </c>
      <c r="E8" s="4">
        <v>0.7</v>
      </c>
      <c r="F8" s="4">
        <v>25</v>
      </c>
      <c r="G8" s="4">
        <v>28</v>
      </c>
      <c r="H8" s="4">
        <v>12</v>
      </c>
      <c r="I8" s="4">
        <v>30</v>
      </c>
      <c r="J8" s="4">
        <v>0.9</v>
      </c>
      <c r="K8" s="4">
        <v>1.35</v>
      </c>
      <c r="L8" s="4">
        <v>150</v>
      </c>
    </row>
    <row r="9" spans="2:11">
      <c r="B9" s="5"/>
      <c r="C9" s="5"/>
      <c r="D9" s="6"/>
      <c r="E9" s="6"/>
      <c r="F9" s="6"/>
      <c r="G9" s="6"/>
      <c r="H9" s="6"/>
      <c r="I9" s="6"/>
      <c r="J9" s="5"/>
      <c r="K9" s="5"/>
    </row>
    <row r="10" spans="1:12">
      <c r="A10" s="4" t="s">
        <v>141</v>
      </c>
      <c r="B10" s="7">
        <f>(B2-0.5)</f>
        <v>0.4</v>
      </c>
      <c r="C10" s="7">
        <v>1</v>
      </c>
      <c r="D10" s="7">
        <v>5</v>
      </c>
      <c r="E10" s="7">
        <v>0.2</v>
      </c>
      <c r="F10" s="8">
        <f>F2</f>
        <v>12</v>
      </c>
      <c r="G10" s="8">
        <f>G2</f>
        <v>15</v>
      </c>
      <c r="H10" s="8">
        <f>H2</f>
        <v>20</v>
      </c>
      <c r="I10" s="8">
        <f>I2</f>
        <v>18</v>
      </c>
      <c r="J10" s="7">
        <f>J2-1</f>
        <v>0.1</v>
      </c>
      <c r="K10" s="7">
        <f>K2-1</f>
        <v>0.05</v>
      </c>
      <c r="L10" s="8">
        <f>L2/4</f>
        <v>31.25</v>
      </c>
    </row>
    <row r="11" spans="1:12">
      <c r="A11" s="4" t="s">
        <v>142</v>
      </c>
      <c r="B11" s="7">
        <f t="shared" ref="B11:B18" si="0">(B3-0.5)</f>
        <v>0.35</v>
      </c>
      <c r="C11" s="7">
        <v>2</v>
      </c>
      <c r="D11" s="7">
        <f t="shared" ref="D11:D16" si="1">D3-2</f>
        <v>4</v>
      </c>
      <c r="E11" s="7">
        <v>0</v>
      </c>
      <c r="F11" s="8">
        <f t="shared" ref="F11:F16" si="2">F3</f>
        <v>8</v>
      </c>
      <c r="G11" s="8">
        <f t="shared" ref="G11:G16" si="3">G3</f>
        <v>12</v>
      </c>
      <c r="H11" s="8">
        <f t="shared" ref="H11:H16" si="4">H3</f>
        <v>25</v>
      </c>
      <c r="I11" s="8">
        <f t="shared" ref="I11:I16" si="5">I3</f>
        <v>10</v>
      </c>
      <c r="J11" s="7">
        <f>J3-1</f>
        <v>0.2</v>
      </c>
      <c r="K11" s="7">
        <v>0</v>
      </c>
      <c r="L11" s="8">
        <f t="shared" ref="L11:L16" si="6">L3/4</f>
        <v>27.5</v>
      </c>
    </row>
    <row r="12" spans="1:12">
      <c r="A12" s="4" t="s">
        <v>143</v>
      </c>
      <c r="B12" s="7">
        <f t="shared" si="0"/>
        <v>0.38</v>
      </c>
      <c r="C12" s="7">
        <v>0</v>
      </c>
      <c r="D12" s="7">
        <f t="shared" si="1"/>
        <v>3</v>
      </c>
      <c r="E12" s="7">
        <v>0.5</v>
      </c>
      <c r="F12" s="8">
        <f>F4+5</f>
        <v>15</v>
      </c>
      <c r="G12" s="8">
        <f>G4*3</f>
        <v>30</v>
      </c>
      <c r="H12" s="8">
        <f t="shared" si="4"/>
        <v>18</v>
      </c>
      <c r="I12" s="8">
        <f t="shared" si="5"/>
        <v>8</v>
      </c>
      <c r="J12" s="7">
        <v>0.05</v>
      </c>
      <c r="K12" s="7">
        <v>0</v>
      </c>
      <c r="L12" s="8">
        <f t="shared" si="6"/>
        <v>26.25</v>
      </c>
    </row>
    <row r="13" spans="1:12">
      <c r="A13" s="4" t="s">
        <v>144</v>
      </c>
      <c r="B13" s="7">
        <f t="shared" si="0"/>
        <v>0.42</v>
      </c>
      <c r="C13" s="7">
        <v>1.5</v>
      </c>
      <c r="D13" s="7">
        <v>2</v>
      </c>
      <c r="E13" s="7">
        <v>0.1</v>
      </c>
      <c r="F13" s="8">
        <f t="shared" si="2"/>
        <v>15</v>
      </c>
      <c r="G13" s="8">
        <f t="shared" si="3"/>
        <v>18</v>
      </c>
      <c r="H13" s="8">
        <f t="shared" si="4"/>
        <v>22</v>
      </c>
      <c r="I13" s="8">
        <f t="shared" si="5"/>
        <v>15</v>
      </c>
      <c r="J13" s="7">
        <f>J5-1</f>
        <v>0.15</v>
      </c>
      <c r="K13" s="7">
        <f t="shared" ref="K11:K16" si="7">K5-1</f>
        <v>0</v>
      </c>
      <c r="L13" s="8">
        <f t="shared" si="6"/>
        <v>30</v>
      </c>
    </row>
    <row r="14" spans="1:12">
      <c r="A14" s="4" t="s">
        <v>145</v>
      </c>
      <c r="B14" s="7">
        <f t="shared" si="0"/>
        <v>0.32</v>
      </c>
      <c r="C14" s="7">
        <v>1</v>
      </c>
      <c r="D14" s="7">
        <v>0</v>
      </c>
      <c r="E14" s="7">
        <v>0</v>
      </c>
      <c r="F14" s="8">
        <f t="shared" si="2"/>
        <v>20</v>
      </c>
      <c r="G14" s="8">
        <f t="shared" si="3"/>
        <v>22</v>
      </c>
      <c r="H14" s="8">
        <f t="shared" si="4"/>
        <v>15</v>
      </c>
      <c r="I14" s="8">
        <f t="shared" si="5"/>
        <v>25</v>
      </c>
      <c r="J14" s="7">
        <v>0</v>
      </c>
      <c r="K14" s="7">
        <f t="shared" si="7"/>
        <v>0.25</v>
      </c>
      <c r="L14" s="8">
        <f t="shared" si="6"/>
        <v>32.5</v>
      </c>
    </row>
    <row r="15" spans="1:12">
      <c r="A15" s="4" t="s">
        <v>146</v>
      </c>
      <c r="B15" s="7">
        <f t="shared" si="0"/>
        <v>0.34</v>
      </c>
      <c r="C15" s="7">
        <v>0</v>
      </c>
      <c r="D15" s="7">
        <f t="shared" si="1"/>
        <v>5</v>
      </c>
      <c r="E15" s="7">
        <v>0.3</v>
      </c>
      <c r="F15" s="8">
        <f t="shared" si="2"/>
        <v>18</v>
      </c>
      <c r="G15" s="8">
        <f t="shared" si="3"/>
        <v>16</v>
      </c>
      <c r="H15" s="8">
        <f t="shared" si="4"/>
        <v>28</v>
      </c>
      <c r="I15" s="8">
        <f t="shared" si="5"/>
        <v>20</v>
      </c>
      <c r="J15" s="7">
        <f>J7-1-0.15</f>
        <v>0.1</v>
      </c>
      <c r="K15" s="7">
        <f t="shared" si="7"/>
        <v>0.15</v>
      </c>
      <c r="L15" s="8">
        <f t="shared" si="6"/>
        <v>32</v>
      </c>
    </row>
    <row r="16" spans="1:12">
      <c r="A16" s="4" t="s">
        <v>147</v>
      </c>
      <c r="B16" s="7">
        <f t="shared" si="0"/>
        <v>0.3</v>
      </c>
      <c r="C16" s="7">
        <v>0</v>
      </c>
      <c r="D16" s="7">
        <v>0</v>
      </c>
      <c r="E16" s="7">
        <v>0</v>
      </c>
      <c r="F16" s="8">
        <v>0</v>
      </c>
      <c r="G16" s="8">
        <v>0</v>
      </c>
      <c r="H16" s="8">
        <f t="shared" si="4"/>
        <v>12</v>
      </c>
      <c r="I16" s="8">
        <f t="shared" si="5"/>
        <v>30</v>
      </c>
      <c r="J16" s="7">
        <f>J8-0.7</f>
        <v>0.2</v>
      </c>
      <c r="K16" s="7">
        <f>K8-1-0.1</f>
        <v>0.25</v>
      </c>
      <c r="L16" s="8">
        <f t="shared" si="6"/>
        <v>37.5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老女武神装备</vt:lpstr>
      <vt:lpstr>计算过程</vt:lpstr>
      <vt:lpstr>武器配件</vt:lpstr>
      <vt:lpstr>装甲配件 </vt:lpstr>
      <vt:lpstr>神之键配件</vt:lpstr>
      <vt:lpstr>武装人偶配件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李孟杰</cp:lastModifiedBy>
  <dcterms:created xsi:type="dcterms:W3CDTF">2015-06-05T18:19:00Z</dcterms:created>
  <dcterms:modified xsi:type="dcterms:W3CDTF">2025-10-08T01:58:50Z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ADBCC4F201E64ECB9D974BA55313920F</vt:lpwstr>
  </property>
  <property fmtid="{D5CDD505-2E9C-101B-9397-08002B2CF9AE}" pid="3" name="KSOProductBuildVer">
    <vt:lpwstr>2052-12.1.0.18608</vt:lpwstr>
  </property>
</Properties>
</file>